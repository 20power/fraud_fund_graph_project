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fb17f2432643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904f355dac3e416f"/>
    <x:sheet xmlns:r="http://schemas.openxmlformats.org/officeDocument/2006/relationships" name="Blind_Review" sheetId="2" r:id="R461963635c2841be"/>
    <x:sheet xmlns:r="http://schemas.openxmlformats.org/officeDocument/2006/relationships" name="Rating_Dictionary" sheetId="3" r:id="Rb371eb16269c4d3a"/>
    <x:sheet xmlns:r="http://schemas.openxmlformats.org/officeDocument/2006/relationships" name="Summary" sheetId="4" r:id="Re7fd54964ec745f7"/>
    <x:sheet xmlns:r="http://schemas.openxmlformats.org/officeDocument/2006/relationships" name="Lists" sheetId="5" r:id="Raaea2eb3e32a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yyyy-mm-dd hh:mm:ss"/>
    <x:numFmt numFmtId="202" formatCode="yyyy-mm-dd hh:mm"/>
    <x:numFmt numFmtId="203" formatCode="0.00%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b/>
      <x:sz val="11"/>
      <x:color rgb="FF1468D4"/>
      <x:name val="Carlito"/>
    </x:font>
    <x:font>
      <x:b/>
      <x:sz val="11"/>
      <x:color rgb="FF203447"/>
      <x:name val="Carlito"/>
    </x:font>
    <x:font>
      <x:sz val="11"/>
      <x:color rgb="FF203447"/>
      <x:name val="Carlito"/>
    </x:font>
    <x:font>
      <x:b/>
      <x:sz val="11"/>
      <x:color rgb="FF6C4D0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071B2E"/>
      </x:patternFill>
    </x:fill>
    <x:fill>
      <x:patternFill patternType="solid">
        <x:fgColor rgb="FF1468D4"/>
      </x:patternFill>
    </x:fill>
    <x:fill>
      <x:patternFill patternType="solid">
        <x:fgColor rgb="FFEAF3FA"/>
      </x:patternFill>
    </x:fill>
    <x:fill>
      <x:patternFill patternType="solid">
        <x:fgColor rgb="FFF6F9FC"/>
      </x:patternFill>
    </x:fill>
    <x:fill>
      <x:patternFill patternType="solid">
        <x:fgColor rgb="FFFFF4D6"/>
      </x:patternFill>
    </x:fill>
    <x:fill>
      <x:patternFill patternType="solid">
        <x:fgColor rgb="FFF7FAFC"/>
      </x:patternFill>
    </x:fill>
  </x:fills>
  <x:borders count="4">
    <x:border/>
    <x:border>
      <x:left style="thin">
        <x:color rgb="FFBDD0DF"/>
      </x:left>
      <x:right style="thin">
        <x:color rgb="FFBDD0DF"/>
      </x:right>
      <x:top style="thin">
        <x:color rgb="FFBDD0DF"/>
      </x:top>
      <x:bottom style="thin">
        <x:color rgb="FFBDD0DF"/>
      </x:bottom>
    </x:border>
    <x:border>
      <x:left style="thin">
        <x:color rgb="FFD9E3EB"/>
      </x:left>
      <x:right style="thin">
        <x:color rgb="FFD9E3EB"/>
      </x:right>
      <x:top style="thin">
        <x:color rgb="FFD9E3EB"/>
      </x:top>
      <x:bottom style="thin">
        <x:color rgb="FFD9E3EB"/>
      </x:bottom>
    </x:border>
    <x:border>
      <x:left style="thin">
        <x:color rgb="FFE4C979"/>
      </x:left>
      <x:right style="thin">
        <x:color rgb="FFE4C979"/>
      </x:right>
      <x:top style="thin">
        <x:color rgb="FFE4C979"/>
      </x:top>
      <x:bottom style="thin">
        <x:color rgb="FFE4C979"/>
      </x:bottom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0" fillId="0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6" borderId="0" xfId="0" applyNumberFormat="1" applyFont="1" applyFill="1" applyBorder="1"/>
    <x:xf numFmtId="0" fontId="5" fillId="6" borderId="3" xfId="0" applyNumberFormat="1" applyFont="1" applyFill="1" applyBorder="1"/>
    <x:xf numFmtId="0" fontId="5" fillId="6" borderId="3" xfId="0" applyNumberFormat="1" applyFont="1" applyFill="1" applyBorder="1" applyAlignment="1">
      <x:alignment wrapText="1"/>
    </x:xf>
    <x:xf numFmtId="200" fontId="5" fillId="7" borderId="2" xfId="0" applyNumberFormat="1" applyFont="1" applyFill="1" applyBorder="1" applyAlignment="1">
      <x:alignment wrapText="1"/>
    </x:xf>
    <x:xf numFmtId="201" fontId="5" fillId="7" borderId="2" xfId="0" applyNumberFormat="1" applyFont="1" applyFill="1" applyBorder="1" applyAlignment="1">
      <x:alignment wrapText="1"/>
    </x:xf>
    <x:xf numFmtId="202" fontId="5" fillId="6" borderId="3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4" fillId="4" borderId="1" xfId="0" applyNumberFormat="1" applyFont="1" applyFill="1" applyBorder="1"/>
    <x:xf numFmtId="203" fontId="5" fillId="0" borderId="1" xfId="0" applyNumberFormat="1" applyFont="1" applyFill="1" applyBorder="1"/>
  </x:cellXfs>
  <x:cellStyles count="1">
    <x:cellStyle name="Normal" xfId="0"/>
  </x:cellStyles>
  <x:dxfs count="1">
    <x:dxf>
      <x:fill>
        <x:patternFill patternType="solid">
          <x:bgColor rgb="FFEEF5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ea00cf52724b8c" /><Relationship Type="http://schemas.openxmlformats.org/officeDocument/2006/relationships/theme" Target="/xl/theme/theme1.xml" Id="Rd42e3c89777b4245" /><Relationship Type="http://schemas.openxmlformats.org/officeDocument/2006/relationships/sharedStrings" Target="/xl/sharedStrings.xml" Id="R87d8d63519ea4063" /><Relationship Type="http://schemas.openxmlformats.org/officeDocument/2006/relationships/worksheet" Target="/xl/worksheets/sheet1.xml" Id="R904f355dac3e416f" /><Relationship Type="http://schemas.openxmlformats.org/officeDocument/2006/relationships/worksheet" Target="/xl/worksheets/sheet2.xml" Id="R461963635c2841be" /><Relationship Type="http://schemas.openxmlformats.org/officeDocument/2006/relationships/worksheet" Target="/xl/worksheets/sheet3.xml" Id="Rb371eb16269c4d3a" /><Relationship Type="http://schemas.openxmlformats.org/officeDocument/2006/relationships/worksheet" Target="/xl/worksheets/sheet4.xml" Id="Re7fd54964ec745f7" /><Relationship Type="http://schemas.openxmlformats.org/officeDocument/2006/relationships/worksheet" Target="/xl/worksheets/sheet5.xml" Id="Raaea2eb3e32a486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6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58" customHeight="1">
      <x:c r="A1" s="5" t="str">
        <x:f>UNICHAR(30002)&amp;UNICHAR(26041)&amp;UNICHAR(20851)&amp;UNICHAR(32852)&amp;UNICHAR(38142)&amp;UNICHAR(36335)&amp;UNICHAR(30450)&amp;UNICHAR(23457)&amp;UNICHAR(34920)&amp;UNICHAR(10)&amp;UNICHAR(29992)&amp;UNICHAR(20110)&amp;UNICHAR(29420)&amp;UNICHAR(31435)&amp;UNICHAR(35780)&amp;UNICHAR(20215)&amp;UNICHAR(36164)&amp;UNICHAR(37329)&amp;UNICHAR(38142)&amp;UNICHAR(36335)&amp;UNICHAR(35299)&amp;UNICHAR(37322)&amp;UNICHAR(30340)&amp;UNICHAR(21512)&amp;UNICHAR(29702)&amp;UNICHAR(24615)&amp;UNICHAR(12289)&amp;UNICHAR(26680)&amp;UNICHAR(26597)&amp;UNICHAR(20215)&amp;UNICHAR(20540)&amp;UNICHAR(19982)&amp;UNICHAR(35777)&amp;UNICHAR(25454)&amp;UNICHAR(20805)&amp;UNICHAR(20998)&amp;UNICHAR(24615)</x:f>
        <x:v>甲方关联链路盲审表
用于独立评价资金链路解释的合理性、核查价值与证据充分性</x:v>
      </x:c>
    </x:row>
    <x:row r="2" ht="58" customHeight="1"/>
    <x:row r="4" ht="30" customHeight="1">
      <x:c r="A4" s="10" t="str">
        <x:f>UNICHAR(20351)&amp;UNICHAR(29992)&amp;UNICHAR(27969)&amp;UNICHAR(31243)</x:f>
        <x:v>使用流程</x:v>
      </x:c>
      <x:c r="B4" s="10"/>
      <x:c r="C4" s="10"/>
      <x:c r="D4" s="10"/>
      <x:c r="E4" s="10"/>
      <x:c r="F4" s="10"/>
      <x:c r="G4" s="10"/>
      <x:c r="H4" s="10"/>
    </x:row>
    <x:row r="5" ht="30" customHeight="1">
      <x:c r="A5" s="18" t="str">
        <x:v>1</x:v>
      </x:c>
      <x:c r="B5" s="19" t="str">
        <x:f>UNICHAR(29420)&amp;UNICHAR(31435)&amp;UNICHAR(23457)&amp;UNICHAR(26680)</x:f>
        <x:v>独立审核</x:v>
      </x:c>
      <x:c r="C5" s="20" t="str">
        <x:f>UNICHAR(23457)&amp;UNICHAR(26680)&amp;UNICHAR(20154)&amp;"A"&amp;UNICHAR(12289)&amp;UNICHAR(23457)&amp;UNICHAR(26680)&amp;UNICHAR(20154)&amp;"B"&amp;UNICHAR(24212)&amp;UNICHAR(20998)&amp;UNICHAR(21035)&amp;UNICHAR(23436)&amp;UNICHAR(25104)&amp;UNICHAR(23545)&amp;UNICHAR(24212)&amp;UNICHAR(24109)&amp;UNICHAR(20301)&amp;UNICHAR(65292)&amp;UNICHAR(19981)&amp;UNICHAR(35752)&amp;UNICHAR(35770)&amp;UNICHAR(21518)&amp;UNICHAR(20877)&amp;UNICHAR(32479)&amp;UNICHAR(19968)&amp;UNICHAR(22635)&amp;UNICHAR(20889)&amp;UNICHAR(12290)</x:f>
        <x:v>审核人A、审核人B应分别完成对应席位，不讨论后再统一填写。</x:v>
      </x:c>
    </x:row>
    <x:row r="6" ht="30" customHeight="1">
      <x:c r="A6" s="18" t="str">
        <x:v>2</x:v>
      </x:c>
      <x:c r="B6" s="19" t="str">
        <x:f>UNICHAR(20445)&amp;UNICHAR(25345)&amp;UNICHAR(30450)&amp;UNICHAR(24577)</x:f>
        <x:v>保持盲态</x:v>
      </x:c>
      <x:c r="C6" s="20" t="str">
        <x:f>UNICHAR(35780)&amp;UNICHAR(20998)&amp;UNICHAR(39029)&amp;UNICHAR(19981)&amp;UNICHAR(23637)&amp;UNICHAR(31034)&amp;UNICHAR(30495)&amp;UNICHAR(23454)&amp;UNICHAR(36134)&amp;UNICHAR(25143)&amp;UNICHAR(12289)&amp;UNICHAR(26631)&amp;UNICHAR(31614)&amp;UNICHAR(12289)&amp;UNICHAR(27169)&amp;UNICHAR(22411)&amp;UNICHAR(39118)&amp;UNICHAR(38505)&amp;UNICHAR(20998)&amp;UNICHAR(21644)&amp;UNICHAR(20869)&amp;UNICHAR(37096)&amp;UNICHAR(20851)&amp;UNICHAR(32852)&amp;UNICHAR(35780)&amp;UNICHAR(20998)&amp;UNICHAR(12290)&amp;UNICHAR(35831)&amp;UNICHAR(21247)&amp;UNICHAR(25171)&amp;UNICHAR(24320)&amp;" blind_review_key.csv"&amp;UNICHAR(12290)</x:f>
        <x:v>评分页不展示真实账户、标签、模型风险分和内部关联评分。请勿打开 blind_review_key.csv。</x:v>
      </x:c>
    </x:row>
    <x:row r="7" ht="30" customHeight="1">
      <x:c r="A7" s="18" t="str">
        <x:v>3</x:v>
      </x:c>
      <x:c r="B7" s="19" t="str">
        <x:f>UNICHAR(36880)&amp;UNICHAR(26465)&amp;UNICHAR(35780)&amp;UNICHAR(20215)</x:f>
        <x:v>逐条评价</x:v>
      </x:c>
      <x:c r="C7" s="20" t="str">
        <x:f>UNICHAR(22312)&amp;UNICHAR(40644)&amp;UNICHAR(33394)&amp;UNICHAR(21015)&amp;UNICHAR(20013)&amp;UNICHAR(22635)&amp;UNICHAR(20889)&amp;UNICHAR(35299)&amp;UNICHAR(37322)&amp;UNICHAR(21512)&amp;UNICHAR(29702)&amp;UNICHAR(24615)&amp;UNICHAR(12289)&amp;UNICHAR(26159)&amp;UNICHAR(21542)&amp;UNICHAR(20540)&amp;UNICHAR(24471)&amp;UNICHAR(36827)&amp;UNICHAR(19968)&amp;UNICHAR(27493)&amp;UNICHAR(26680)&amp;UNICHAR(26597)&amp;UNICHAR(12289)&amp;UNICHAR(35777)&amp;UNICHAR(25454)&amp;UNICHAR(20805)&amp;UNICHAR(20998)&amp;UNICHAR(24615)&amp;UNICHAR(21450)&amp;UNICHAR(24517)&amp;UNICHAR(35201)&amp;UNICHAR(35828)&amp;UNICHAR(26126)&amp;UNICHAR(12290)</x:f>
        <x:v>在黄色列中填写解释合理性、是否值得进一步核查、证据充分性及必要说明。</x:v>
      </x:c>
    </x:row>
    <x:row r="8" ht="30" customHeight="1">
      <x:c r="A8" s="18" t="str">
        <x:v>4</x:v>
      </x:c>
      <x:c r="B8" s="19" t="str">
        <x:f>UNICHAR(26080)&amp;UNICHAR(27861)&amp;UNICHAR(21028)&amp;UNICHAR(26029)</x:f>
        <x:v>无法判断</x:v>
      </x:c>
      <x:c r="C8" s="20" t="str">
        <x:f>UNICHAR(35777)&amp;UNICHAR(25454)&amp;UNICHAR(19981)&amp;UNICHAR(36275)&amp;UNICHAR(20197)&amp;UNICHAR(21028)&amp;UNICHAR(26029)&amp;UNICHAR(26102)&amp;UNICHAR(35831)&amp;UNICHAR(36873)&amp;UNICHAR(25321)&amp;UNICHAR(8220)&amp;UNICHAR(26080)&amp;UNICHAR(27861)&amp;UNICHAR(21028)&amp;UNICHAR(26029)&amp;UNICHAR(8221)&amp;UNICHAR(65292)&amp;UNICHAR(35813)&amp;UNICHAR(39033)&amp;UNICHAR(19981)&amp;UNICHAR(20250)&amp;UNICHAR(36827)&amp;UNICHAR(20837)&amp;UNICHAR(23545)&amp;UNICHAR(24212)&amp;UNICHAR(26377)&amp;UNICHAR(25928)&amp;UNICHAR(27604)&amp;UNICHAR(20363)&amp;UNICHAR(20998)&amp;UNICHAR(27597)&amp;UNICHAR(12290)</x:f>
        <x:v>证据不足以判断时请选择“无法判断”，该项不会进入对应有效比例分母。</x:v>
      </x:c>
    </x:row>
    <x:row r="9" ht="30" customHeight="1">
      <x:c r="A9" s="18" t="str">
        <x:v>5</x:v>
      </x:c>
      <x:c r="B9" s="19" t="str">
        <x:f>UNICHAR(25552)&amp;UNICHAR(20132)&amp;UNICHAR(19982)&amp;UNICHAR(27719)&amp;UNICHAR(24635)</x:f>
        <x:v>提交与汇总</x:v>
      </x:c>
      <x:c r="C9" s="20" t="str">
        <x:f>UNICHAR(23436)&amp;UNICHAR(25104)&amp;UNICHAR(21518)&amp;UNICHAR(20445)&amp;UNICHAR(23384)&amp;UNICHAR(26412)&amp;UNICHAR(24037)&amp;UNICHAR(20316)&amp;UNICHAR(31807)&amp;UNICHAR(65307)&amp;UNICHAR(27719)&amp;UNICHAR(24635)&amp;UNICHAR(32467)&amp;UNICHAR(26524)&amp;UNICHAR(39029)&amp;UNICHAR(20250)&amp;UNICHAR(33258)&amp;UNICHAR(21160)&amp;UNICHAR(35745)&amp;UNICHAR(31639)&amp;UNICHAR(12290)&amp;UNICHAR(39033)&amp;UNICHAR(30446)&amp;UNICHAR(26041)&amp;UNICHAR(21487)&amp;UNICHAR(36816)&amp;UNICHAR(34892)&amp;UNICHAR(27719)&amp;UNICHAR(24635)&amp;UNICHAR(33050)&amp;UNICHAR(26412)&amp;UNICHAR(29983)&amp;UNICHAR(25104)&amp;UNICHAR(27491)&amp;UNICHAR(24335)&amp;UNICHAR(25253)&amp;UNICHAR(21578)&amp;UNICHAR(12290)</x:f>
        <x:v>完成后保存本工作簿；汇总结果页会自动计算。项目方可运行汇总脚本生成正式报告。</x:v>
      </x:c>
    </x:row>
    <x:row r="10" ht="30" customHeight="1"/>
    <x:row r="11" ht="30" customHeight="1">
      <x:c r="A11" s="10" t="str">
        <x:f>UNICHAR(20851)&amp;UNICHAR(38190)&amp;UNICHAR(21475)&amp;UNICHAR(24452)</x:f>
        <x:v>关键口径</x:v>
      </x:c>
      <x:c r="B11" s="10"/>
      <x:c r="C11" s="10"/>
      <x:c r="D11" s="10"/>
      <x:c r="E11" s="10"/>
      <x:c r="F11" s="10"/>
      <x:c r="G11" s="10"/>
      <x:c r="H11" s="10"/>
    </x:row>
    <x:row r="12" ht="30" customHeight="1">
      <x:c r="A12" s="24" t="str">
        <x:f>UNICHAR(8226)&amp;" "&amp;UNICHAR(35299)&amp;UNICHAR(37322)&amp;UNICHAR(21512)&amp;UNICHAR(29702)&amp;UNICHAR(29575)&amp;" ="&amp;UNICHAR(65288)&amp;UNICHAR(21512)&amp;UNICHAR(29702)&amp;" + "&amp;UNICHAR(22522)&amp;UNICHAR(26412)&amp;UNICHAR(21512)&amp;UNICHAR(29702)&amp;UNICHAR(65289)&amp;"/ "&amp;UNICHAR(26377)&amp;UNICHAR(25928)&amp;UNICHAR(21512)&amp;UNICHAR(29702)&amp;UNICHAR(24615)&amp;UNICHAR(35780)&amp;UNICHAR(20215)&amp;UNICHAR(65307)&amp;UNICHAR(21442)&amp;UNICHAR(32771)&amp;UNICHAR(30446)&amp;UNICHAR(26631)&amp;UNICHAR(20026)&amp;UNICHAR(19981)&amp;UNICHAR(20302)&amp;UNICHAR(20110)&amp;"70%"&amp;UNICHAR(12290)</x:f>
        <x:v>• 解释合理率 =（合理 + 基本合理）/ 有效合理性评价；参考目标为不低于70%。</x:v>
      </x:c>
      <x:c r="B12" s="24"/>
      <x:c r="C12" s="24"/>
      <x:c r="D12" s="24"/>
      <x:c r="E12" s="24"/>
      <x:c r="F12" s="24"/>
      <x:c r="G12" s="24"/>
      <x:c r="H12" s="24"/>
    </x:row>
    <x:row r="13" ht="30" customHeight="1">
      <x:c r="A13" s="24" t="str">
        <x:f>UNICHAR(8226)&amp;" "&amp;UNICHAR(35777)&amp;UNICHAR(25454)&amp;UNICHAR(20805)&amp;UNICHAR(20998)&amp;UNICHAR(29575)&amp;" ="&amp;UNICHAR(65288)&amp;UNICHAR(20805)&amp;UNICHAR(20998)&amp;" + "&amp;UNICHAR(22522)&amp;UNICHAR(26412)&amp;UNICHAR(20805)&amp;UNICHAR(20998)&amp;UNICHAR(65289)&amp;"/ "&amp;UNICHAR(26377)&amp;UNICHAR(25928)&amp;UNICHAR(35777)&amp;UNICHAR(25454)&amp;UNICHAR(35780)&amp;UNICHAR(20215)&amp;UNICHAR(12290)</x:f>
        <x:v>• 证据充分率 =（充分 + 基本充分）/ 有效证据评价。</x:v>
      </x:c>
      <x:c r="B13" s="24"/>
      <x:c r="C13" s="24"/>
      <x:c r="D13" s="24"/>
      <x:c r="E13" s="24"/>
      <x:c r="F13" s="24"/>
      <x:c r="G13" s="24"/>
      <x:c r="H13" s="24"/>
    </x:row>
    <x:row r="14" ht="30" customHeight="1">
      <x:c r="A14" s="24" t="str">
        <x:f>UNICHAR(8226)&amp;" "&amp;UNICHAR(8220)&amp;UNICHAR(26159)&amp;UNICHAR(21542)&amp;UNICHAR(20540)&amp;UNICHAR(24471)&amp;UNICHAR(36827)&amp;UNICHAR(19968)&amp;UNICHAR(27493)&amp;UNICHAR(26680)&amp;UNICHAR(26597)&amp;UNICHAR(8221)&amp;UNICHAR(34913)&amp;UNICHAR(37327)&amp;UNICHAR(30740)&amp;UNICHAR(21028)&amp;UNICHAR(20215)&amp;UNICHAR(20540)&amp;UNICHAR(65292)&amp;UNICHAR(19981)&amp;UNICHAR(20195)&amp;UNICHAR(34920)&amp;UNICHAR(36134)&amp;UNICHAR(25143)&amp;UNICHAR(24050)&amp;UNICHAR(34987)&amp;UNICHAR(35748)&amp;UNICHAR(23450)&amp;UNICHAR(28041)&amp;UNICHAR(35784)&amp;UNICHAR(12290)</x:f>
        <x:v>• “是否值得进一步核查”衡量研判价值，不代表账户已被认定涉诈。</x:v>
      </x:c>
      <x:c r="B14" s="24"/>
      <x:c r="C14" s="24"/>
      <x:c r="D14" s="24"/>
      <x:c r="E14" s="24"/>
      <x:c r="F14" s="24"/>
      <x:c r="G14" s="24"/>
      <x:c r="H14" s="24"/>
    </x:row>
    <x:row r="15" ht="30" customHeight="1">
      <x:c r="A15" s="24" t="str">
        <x:f>UNICHAR(8226)&amp;" "&amp;UNICHAR(31354)&amp;UNICHAR(30333)&amp;UNICHAR(39033)&amp;UNICHAR(21644)&amp;UNICHAR(8220)&amp;UNICHAR(26080)&amp;UNICHAR(27861)&amp;UNICHAR(21028)&amp;UNICHAR(26029)&amp;UNICHAR(8221)&amp;UNICHAR(19981)&amp;UNICHAR(36827)&amp;UNICHAR(20837)&amp;UNICHAR(23545)&amp;UNICHAR(24212)&amp;UNICHAR(27604)&amp;UNICHAR(20363)&amp;UNICHAR(20998)&amp;UNICHAR(27597)&amp;UNICHAR(65292)&amp;UNICHAR(20294)&amp;UNICHAR(38656)&amp;UNICHAR(20851)&amp;UNICHAR(27880)&amp;UNICHAR(20854)&amp;UNICHAR(25968)&amp;UNICHAR(37327)&amp;UNICHAR(12290)</x:f>
        <x:v>• 空白项和“无法判断”不进入对应比例分母，但需关注其数量。</x:v>
      </x:c>
      <x:c r="B15" s="24"/>
      <x:c r="C15" s="24"/>
      <x:c r="D15" s="24"/>
      <x:c r="E15" s="24"/>
      <x:c r="F15" s="24"/>
      <x:c r="G15" s="24"/>
      <x:c r="H15" s="24"/>
    </x:row>
    <x:row r="16" ht="30" customHeight="1">
      <x:c r="A16" s="24" t="str">
        <x:f>UNICHAR(8226)&amp;" "&amp;UNICHAR(20004)&amp;UNICHAR(20301)&amp;UNICHAR(23457)&amp;UNICHAR(26680)&amp;UNICHAR(20154)&amp;UNICHAR(30340)&amp;UNICHAR(35780)&amp;UNICHAR(20215)&amp;UNICHAR(24212)&amp;UNICHAR(20445)&amp;UNICHAR(30041)&amp;UNICHAR(21407)&amp;UNICHAR(22987)&amp;UNICHAR(24046)&amp;UNICHAR(24322)&amp;UNICHAR(65292)&amp;UNICHAR(19981)&amp;UNICHAR(24212)&amp;UNICHAR(20026)&amp;UNICHAR(20102)&amp;UNICHAR(25552)&amp;UNICHAR(39640)&amp;UNICHAR(19968)&amp;UNICHAR(33268)&amp;UNICHAR(29575)&amp;UNICHAR(32780)&amp;UNICHAR(20107)&amp;UNICHAR(21518)&amp;UNICHAR(25913)&amp;UNICHAR(20889)&amp;UNICHAR(12290)</x:f>
        <x:v>• 两位审核人的评价应保留原始差异，不应为了提高一致率而事后改写。</x:v>
      </x:c>
      <x:c r="B16" s="24"/>
      <x:c r="C16" s="24"/>
      <x:c r="D16" s="24"/>
      <x:c r="E16" s="24"/>
      <x:c r="F16" s="24"/>
      <x:c r="G16" s="24"/>
      <x:c r="H16" s="24"/>
    </x:row>
    <x:row r="17" ht="30" customHeight="1">
      <x:c r="A17" s="24" t="str">
        <x:f>UNICHAR(8226)&amp;" "&amp;UNICHAR(26412)&amp;UNICHAR(25991)&amp;UNICHAR(20214)&amp;UNICHAR(21547)&amp;UNICHAR(21311)&amp;UNICHAR(21517)&amp;UNICHAR(19994)&amp;UNICHAR(21153)&amp;UNICHAR(35777)&amp;UNICHAR(25454)&amp;UNICHAR(65292)&amp;UNICHAR(20173)&amp;UNICHAR(24212)&amp;UNICHAR(25353)&amp;UNICHAR(39033)&amp;UNICHAR(30446)&amp;UNICHAR(36164)&amp;UNICHAR(26009)&amp;UNICHAR(31649)&amp;UNICHAR(29702)&amp;UNICHAR(35201)&amp;UNICHAR(27714)&amp;UNICHAR(20445)&amp;UNICHAR(23384)&amp;UNICHAR(21644)&amp;UNICHAR(20256)&amp;UNICHAR(36882)&amp;UNICHAR(12290)</x:f>
        <x:v>• 本文件含匿名业务证据，仍应按项目资料管理要求保存和传递。</x:v>
      </x:c>
      <x:c r="B17" s="24"/>
      <x:c r="C17" s="24"/>
      <x:c r="D17" s="24"/>
      <x:c r="E17" s="24"/>
      <x:c r="F17" s="24"/>
      <x:c r="G17" s="24"/>
      <x:c r="H17" s="24"/>
    </x:row>
  </x:sheetData>
  <x:mergeCells>
    <x:mergeCell ref="A1:H2"/>
    <x:mergeCell ref="A4:H4"/>
    <x:mergeCell ref="A11:H11"/>
    <x:mergeCell ref="A12:H12"/>
    <x:mergeCell ref="A13:H13"/>
    <x:mergeCell ref="A14:H14"/>
    <x:mergeCell ref="A15:H15"/>
    <x:mergeCell ref="A16:H16"/>
    <x:mergeCell ref="A17:H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7" hidden="0" customWidth="1"/>
    <x:col min="4" max="4" width="17" hidden="0" customWidth="1"/>
    <x:col min="5" max="5" width="10" hidden="0" customWidth="1"/>
    <x:col min="6" max="6" width="40" hidden="0" customWidth="1"/>
    <x:col min="7" max="7" width="12" hidden="0" customWidth="1"/>
    <x:col min="8" max="8" width="20" hidden="0" customWidth="1"/>
    <x:col min="9" max="9" width="20" hidden="0" customWidth="1"/>
    <x:col min="10" max="10" width="14" hidden="0" customWidth="1"/>
    <x:col min="11" max="11" width="12" hidden="0" customWidth="1"/>
    <x:col min="12" max="12" width="48" hidden="0" customWidth="1"/>
    <x:col min="13" max="13" width="15" hidden="0" customWidth="1"/>
    <x:col min="14" max="14" width="20" hidden="0" customWidth="1"/>
    <x:col min="15" max="15" width="15" hidden="0" customWidth="1"/>
    <x:col min="16" max="16" width="24" hidden="0" customWidth="1"/>
    <x:col min="17" max="17" width="28" hidden="0" customWidth="1"/>
    <x:col min="18" max="18" width="14" hidden="0" customWidth="1"/>
    <x:col min="19" max="19" width="20" hidden="0" customWidth="1"/>
  </x:cols>
  <x:sheetData>
    <x:row r="1" ht="58" customHeight="1">
      <x:c r="A1" s="5" t="str">
        <x:f>UNICHAR(20851)&amp;UNICHAR(32852)&amp;UNICHAR(38142)&amp;UNICHAR(36335)&amp;UNICHAR(30450)&amp;UNICHAR(23457)&amp;UNICHAR(35780)&amp;UNICHAR(20998)&amp;UNICHAR(10)&amp;UNICHAR(40644)&amp;UNICHAR(33394)&amp;UNICHAR(21015)&amp;UNICHAR(20026)&amp;UNICHAR(30002)&amp;UNICHAR(26041)&amp;UNICHAR(22635)&amp;UNICHAR(20889)&amp;UNICHAR(21306)&amp;UNICHAR(65307)&amp;UNICHAR(19968)&amp;UNICHAR(26465)&amp;UNICHAR(26679)&amp;UNICHAR(26412)&amp;UNICHAR(35774)&amp;UNICHAR(32622)&amp;UNICHAR(20004)&amp;UNICHAR(20010)&amp;UNICHAR(29420)&amp;UNICHAR(31435)&amp;UNICHAR(23457)&amp;UNICHAR(26680)&amp;UNICHAR(24109)&amp;UNICHAR(20301)</x:f>
        <x:v>关联链路盲审评分
黄色列为甲方填写区；一条样本设置两个独立审核席位</x:v>
      </x:c>
    </x:row>
    <x:row r="2" ht="58" customHeight="1"/>
    <x:row r="3">
      <x:c r="A3" s="27" t="str">
        <x:f>UNICHAR(27880)&amp;UNICHAR(24847)&amp;UNICHAR(65306)&amp;UNICHAR(27169)&amp;UNICHAR(22411)&amp;UNICHAR(36755)&amp;UNICHAR(20986)&amp;UNICHAR(20165)&amp;UNICHAR(20316)&amp;UNICHAR(36741)&amp;UNICHAR(21161)&amp;UNICHAR(30740)&amp;UNICHAR(21028)&amp;UNICHAR(65292)&amp;UNICHAR(19981)&amp;UNICHAR(20195)&amp;UNICHAR(34920)&amp;UNICHAR(36134)&amp;UNICHAR(25143)&amp;UNICHAR(24050)&amp;UNICHAR(34987)&amp;UNICHAR(35748)&amp;UNICHAR(23450)&amp;UNICHAR(28041)&amp;UNICHAR(35784)&amp;UNICHAR(12290)&amp;UNICHAR(35831)&amp;UNICHAR(20165)&amp;UNICHAR(20381)&amp;UNICHAR(25454)&amp;UNICHAR(26412)&amp;UNICHAR(39029)&amp;UNICHAR(21311)&amp;UNICHAR(21517)&amp;UNICHAR(35777)&amp;UNICHAR(25454)&amp;UNICHAR(35780)&amp;UNICHAR(20998)&amp;UNICHAR(12290)</x:f>
        <x:v>注意：模型输出仅作辅助研判，不代表账户已被认定涉诈。请仅依据本页匿名证据评分。</x:v>
      </x:c>
    </x:row>
    <x:row r="5">
      <x:c r="A5" s="10" t="str">
        <x:f>UNICHAR(26679)&amp;UNICHAR(26412)&amp;UNICHAR(32534)&amp;UNICHAR(21495)</x:f>
        <x:v>样本编号</x:v>
      </x:c>
      <x:c r="B5" s="10" t="str">
        <x:f>UNICHAR(23457)&amp;UNICHAR(26680)&amp;UNICHAR(24109)&amp;UNICHAR(20301)</x:f>
        <x:v>审核席位</x:v>
      </x:c>
      <x:c r="C5" s="10" t="str">
        <x:f>UNICHAR(21311)&amp;UNICHAR(21517)&amp;UNICHAR(38170)&amp;UNICHAR(28857)&amp;UNICHAR(36134)&amp;UNICHAR(25143)</x:f>
        <x:v>匿名锚点账户</x:v>
      </x:c>
      <x:c r="D5" s="10" t="str">
        <x:f>UNICHAR(21311)&amp;UNICHAR(21517)&amp;UNICHAR(20851)&amp;UNICHAR(32852)&amp;UNICHAR(36134)&amp;UNICHAR(25143)</x:f>
        <x:v>匿名关联账户</x:v>
      </x:c>
      <x:c r="E5" s="10" t="str">
        <x:f>UNICHAR(36335)&amp;UNICHAR(24452)&amp;UNICHAR(36339)&amp;UNICHAR(25968)</x:f>
        <x:v>路径跳数</x:v>
      </x:c>
      <x:c r="F5" s="10" t="str">
        <x:f>UNICHAR(21311)&amp;UNICHAR(21517)&amp;UNICHAR(36164)&amp;UNICHAR(37329)&amp;UNICHAR(36335)&amp;UNICHAR(24452)</x:f>
        <x:v>匿名资金路径</x:v>
      </x:c>
      <x:c r="G5" s="10" t="str">
        <x:f>UNICHAR(36335)&amp;UNICHAR(24452)&amp;UNICHAR(20132)&amp;UNICHAR(26131)&amp;UNICHAR(31508)&amp;UNICHAR(25968)</x:f>
        <x:v>路径交易笔数</x:v>
      </x:c>
      <x:c r="H5" s="10" t="str">
        <x:f>UNICHAR(36335)&amp;UNICHAR(24452)&amp;UNICHAR(32047)&amp;UNICHAR(35745)&amp;UNICHAR(32477)&amp;UNICHAR(23545)&amp;UNICHAR(37329)&amp;UNICHAR(39069)</x:f>
        <x:v>路径累计绝对金额</x:v>
      </x:c>
      <x:c r="I5" s="10" t="str">
        <x:f>UNICHAR(36335)&amp;UNICHAR(24452)&amp;UNICHAR(26368)&amp;UNICHAR(36817)&amp;UNICHAR(20132)&amp;UNICHAR(26131)&amp;UNICHAR(26102)&amp;UNICHAR(38388)</x:f>
        <x:v>路径最近交易时间</x:v>
      </x:c>
      <x:c r="J5" s="10" t="str">
        <x:f>UNICHAR(26159)&amp;UNICHAR(21542)&amp;UNICHAR(21516)&amp;UNICHAR(19968)&amp;UNICHAR(22270)&amp;UNICHAR(31038)&amp;UNICHAR(21306)</x:f>
        <x:v>是否同一图社区</x:v>
      </x:c>
      <x:c r="K5" s="10" t="str">
        <x:f>UNICHAR(21452)&amp;UNICHAR(21521)&amp;UNICHAR(20851)&amp;UNICHAR(31995)&amp;UNICHAR(25968)&amp;UNICHAR(37327)</x:f>
        <x:v>双向关系数量</x:v>
      </x:c>
      <x:c r="L5" s="10" t="str">
        <x:f>UNICHAR(20851)&amp;UNICHAR(31995)&amp;UNICHAR(35777)&amp;UNICHAR(25454)&amp;UNICHAR(25688)&amp;UNICHAR(35201)</x:f>
        <x:v>关系证据摘要</x:v>
      </x:c>
      <x:c r="M5" s="10" t="str">
        <x:f>UNICHAR(35299)&amp;UNICHAR(37322)&amp;UNICHAR(21512)&amp;UNICHAR(29702)&amp;UNICHAR(24615)&amp;"*"</x:f>
        <x:v>解释合理性*</x:v>
      </x:c>
      <x:c r="N5" s="10" t="str">
        <x:f>UNICHAR(26159)&amp;UNICHAR(21542)&amp;UNICHAR(20540)&amp;UNICHAR(24471)&amp;UNICHAR(36827)&amp;UNICHAR(19968)&amp;UNICHAR(27493)&amp;UNICHAR(26680)&amp;UNICHAR(26597)&amp;"*"</x:f>
        <x:v>是否值得进一步核查*</x:v>
      </x:c>
      <x:c r="O5" s="10" t="str">
        <x:f>UNICHAR(35777)&amp;UNICHAR(25454)&amp;UNICHAR(20805)&amp;UNICHAR(20998)&amp;UNICHAR(24615)&amp;"*"</x:f>
        <x:v>证据充分性*</x:v>
      </x:c>
      <x:c r="P5" s="10" t="str">
        <x:f>UNICHAR(19981)&amp;UNICHAR(21512)&amp;UNICHAR(29702)&amp;"/"&amp;UNICHAR(19981)&amp;UNICHAR(36275)&amp;UNICHAR(21407)&amp;UNICHAR(22240)</x:f>
        <x:v>不合理/不足原因</x:v>
      </x:c>
      <x:c r="Q5" s="10" t="str">
        <x:f>UNICHAR(34917)&amp;UNICHAR(20805)&amp;UNICHAR(24847)&amp;UNICHAR(35265)</x:f>
        <x:v>补充意见</x:v>
      </x:c>
      <x:c r="R5" s="10" t="str">
        <x:f>UNICHAR(23457)&amp;UNICHAR(26680)&amp;UNICHAR(20154)</x:f>
        <x:v>审核人</x:v>
      </x:c>
      <x:c r="S5" s="10" t="str">
        <x:f>UNICHAR(23457)&amp;UNICHAR(26680)&amp;UNICHAR(26102)&amp;UNICHAR(38388)</x:f>
        <x:v>审核时间</x:v>
      </x:c>
    </x:row>
    <x:row r="6" ht="38" customHeight="1">
      <x:c r="A6" s="31" t="str">
        <x:v>LINK-001</x:v>
      </x:c>
      <x:c r="B6" s="31" t="str">
        <x:v>A</x:v>
      </x:c>
      <x:c r="C6" s="31" t="str">
        <x:v>A00034</x:v>
      </x:c>
      <x:c r="D6" s="31" t="str">
        <x:v>A00043</x:v>
      </x:c>
      <x:c r="E6" s="31" t="n">
        <x:v>2</x:v>
      </x:c>
      <x:c r="F6" s="31" t="str">
        <x:f>"A00034 "&amp;UNICHAR(8594)&amp;" A00005 "&amp;UNICHAR(8594)&amp;" A00043"</x:f>
        <x:v>A00034 → A00005 → A00043</x:v>
      </x:c>
      <x:c r="G6" s="31" t="n">
        <x:v>4</x:v>
      </x:c>
      <x:c r="H6" s="35" t="n">
        <x:v>2570.7</x:v>
      </x:c>
      <x:c r="I6" s="36" t="str">
        <x:v>2025-12-06T11:21:36.000</x:v>
      </x:c>
      <x:c r="J6" s="31" t="str">
        <x:f>UNICHAR(26159)</x:f>
        <x:v>是</x:v>
      </x:c>
      <x:c r="K6" s="31" t="n">
        <x:v>0</x:v>
      </x:c>
      <x:c r="L6" s="31" t="str">
        <x:f>"2"&amp;UNICHAR(36339)&amp;UNICHAR(20851)&amp;UNICHAR(31995)&amp;UNICHAR(65307)&amp;UNICHAR(36335)&amp;UNICHAR(24452)&amp;UNICHAR(32047)&amp;UNICHAR(35745)&amp;"4"&amp;UNICHAR(31508)&amp;UNICHAR(65307)&amp;UNICHAR(32047)&amp;UNICHAR(35745)&amp;UNICHAR(32477)&amp;UNICHAR(23545)&amp;UNICHAR(37329)&amp;UNICHAR(39069)&amp;"2,570.70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2跳关系；路径累计4笔；累计绝对金额2,570.70元；最近交易2025-12-06 11:21:36；同社区=是；双向关系0条</x:v>
      </x:c>
      <x:c r="M6" s="34" t="str"/>
      <x:c r="N6" s="34" t="str"/>
      <x:c r="O6" s="34" t="str"/>
      <x:c r="P6" s="34" t="str"/>
      <x:c r="Q6" s="34" t="str"/>
      <x:c r="R6" s="34" t="str"/>
      <x:c r="S6" s="37" t="str"/>
    </x:row>
    <x:row r="7" ht="38" customHeight="1">
      <x:c r="A7" s="31" t="str">
        <x:v>LINK-001</x:v>
      </x:c>
      <x:c r="B7" s="31" t="str">
        <x:v>B</x:v>
      </x:c>
      <x:c r="C7" s="31" t="str">
        <x:v>A00034</x:v>
      </x:c>
      <x:c r="D7" s="31" t="str">
        <x:v>A00043</x:v>
      </x:c>
      <x:c r="E7" s="31" t="n">
        <x:v>2</x:v>
      </x:c>
      <x:c r="F7" s="31" t="str">
        <x:f>"A00034 "&amp;UNICHAR(8594)&amp;" A00005 "&amp;UNICHAR(8594)&amp;" A00043"</x:f>
        <x:v>A00034 → A00005 → A00043</x:v>
      </x:c>
      <x:c r="G7" s="31" t="n">
        <x:v>4</x:v>
      </x:c>
      <x:c r="H7" s="35" t="n">
        <x:v>2570.7</x:v>
      </x:c>
      <x:c r="I7" s="36" t="str">
        <x:v>2025-12-06T11:21:36.000</x:v>
      </x:c>
      <x:c r="J7" s="31" t="str">
        <x:f>UNICHAR(26159)</x:f>
        <x:v>是</x:v>
      </x:c>
      <x:c r="K7" s="31" t="n">
        <x:v>0</x:v>
      </x:c>
      <x:c r="L7" s="31" t="str">
        <x:f>"2"&amp;UNICHAR(36339)&amp;UNICHAR(20851)&amp;UNICHAR(31995)&amp;UNICHAR(65307)&amp;UNICHAR(36335)&amp;UNICHAR(24452)&amp;UNICHAR(32047)&amp;UNICHAR(35745)&amp;"4"&amp;UNICHAR(31508)&amp;UNICHAR(65307)&amp;UNICHAR(32047)&amp;UNICHAR(35745)&amp;UNICHAR(32477)&amp;UNICHAR(23545)&amp;UNICHAR(37329)&amp;UNICHAR(39069)&amp;"2,570.70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2跳关系；路径累计4笔；累计绝对金额2,570.70元；最近交易2025-12-06 11:21:36；同社区=是；双向关系0条</x:v>
      </x:c>
      <x:c r="M7" s="34" t="str"/>
      <x:c r="N7" s="34" t="str"/>
      <x:c r="O7" s="34" t="str"/>
      <x:c r="P7" s="34" t="str"/>
      <x:c r="Q7" s="34" t="str"/>
      <x:c r="R7" s="34" t="str"/>
      <x:c r="S7" s="37" t="str"/>
    </x:row>
    <x:row r="8" ht="38" customHeight="1">
      <x:c r="A8" s="31" t="str">
        <x:v>LINK-002</x:v>
      </x:c>
      <x:c r="B8" s="31" t="str">
        <x:v>A</x:v>
      </x:c>
      <x:c r="C8" s="31" t="str">
        <x:v>A00022</x:v>
      </x:c>
      <x:c r="D8" s="31" t="str">
        <x:v>A00086</x:v>
      </x:c>
      <x:c r="E8" s="31" t="n">
        <x:v>2</x:v>
      </x:c>
      <x:c r="F8" s="31" t="str">
        <x:f>"A00022 "&amp;UNICHAR(8594)&amp;" A00091 "&amp;UNICHAR(8594)&amp;" A00086"</x:f>
        <x:v>A00022 → A00091 → A00086</x:v>
      </x:c>
      <x:c r="G8" s="31" t="n">
        <x:v>68</x:v>
      </x:c>
      <x:c r="H8" s="35" t="n">
        <x:v>4659742</x:v>
      </x:c>
      <x:c r="I8" s="36" t="str">
        <x:v>2025-12-25T13:54:23.000</x:v>
      </x:c>
      <x:c r="J8" s="31" t="str">
        <x:f>UNICHAR(26159)</x:f>
        <x:v>是</x:v>
      </x:c>
      <x:c r="K8" s="31" t="n">
        <x:v>0</x:v>
      </x:c>
      <x:c r="L8" s="31" t="str">
        <x:f>"2"&amp;UNICHAR(36339)&amp;UNICHAR(20851)&amp;UNICHAR(31995)&amp;UNICHAR(65307)&amp;UNICHAR(36335)&amp;UNICHAR(24452)&amp;UNICHAR(32047)&amp;UNICHAR(35745)&amp;"68"&amp;UNICHAR(31508)&amp;UNICHAR(65307)&amp;UNICHAR(32047)&amp;UNICHAR(35745)&amp;UNICHAR(32477)&amp;UNICHAR(23545)&amp;UNICHAR(37329)&amp;UNICHAR(39069)&amp;"4,659,742.00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2跳关系；路径累计68笔；累计绝对金额4,659,742.00元；最近交易2025-12-25 13:54:23；同社区=是；双向关系0条</x:v>
      </x:c>
      <x:c r="M8" s="34" t="str"/>
      <x:c r="N8" s="34" t="str"/>
      <x:c r="O8" s="34" t="str"/>
      <x:c r="P8" s="34" t="str"/>
      <x:c r="Q8" s="34" t="str"/>
      <x:c r="R8" s="34" t="str"/>
      <x:c r="S8" s="37" t="str"/>
    </x:row>
    <x:row r="9" ht="38" customHeight="1">
      <x:c r="A9" s="31" t="str">
        <x:v>LINK-002</x:v>
      </x:c>
      <x:c r="B9" s="31" t="str">
        <x:v>B</x:v>
      </x:c>
      <x:c r="C9" s="31" t="str">
        <x:v>A00022</x:v>
      </x:c>
      <x:c r="D9" s="31" t="str">
        <x:v>A00086</x:v>
      </x:c>
      <x:c r="E9" s="31" t="n">
        <x:v>2</x:v>
      </x:c>
      <x:c r="F9" s="31" t="str">
        <x:f>"A00022 "&amp;UNICHAR(8594)&amp;" A00091 "&amp;UNICHAR(8594)&amp;" A00086"</x:f>
        <x:v>A00022 → A00091 → A00086</x:v>
      </x:c>
      <x:c r="G9" s="31" t="n">
        <x:v>68</x:v>
      </x:c>
      <x:c r="H9" s="35" t="n">
        <x:v>4659742</x:v>
      </x:c>
      <x:c r="I9" s="36" t="str">
        <x:v>2025-12-25T13:54:23.000</x:v>
      </x:c>
      <x:c r="J9" s="31" t="str">
        <x:f>UNICHAR(26159)</x:f>
        <x:v>是</x:v>
      </x:c>
      <x:c r="K9" s="31" t="n">
        <x:v>0</x:v>
      </x:c>
      <x:c r="L9" s="31" t="str">
        <x:f>"2"&amp;UNICHAR(36339)&amp;UNICHAR(20851)&amp;UNICHAR(31995)&amp;UNICHAR(65307)&amp;UNICHAR(36335)&amp;UNICHAR(24452)&amp;UNICHAR(32047)&amp;UNICHAR(35745)&amp;"68"&amp;UNICHAR(31508)&amp;UNICHAR(65307)&amp;UNICHAR(32047)&amp;UNICHAR(35745)&amp;UNICHAR(32477)&amp;UNICHAR(23545)&amp;UNICHAR(37329)&amp;UNICHAR(39069)&amp;"4,659,742.00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2跳关系；路径累计68笔；累计绝对金额4,659,742.00元；最近交易2025-12-25 13:54:23；同社区=是；双向关系0条</x:v>
      </x:c>
      <x:c r="M9" s="34" t="str"/>
      <x:c r="N9" s="34" t="str"/>
      <x:c r="O9" s="34" t="str"/>
      <x:c r="P9" s="34" t="str"/>
      <x:c r="Q9" s="34" t="str"/>
      <x:c r="R9" s="34" t="str"/>
      <x:c r="S9" s="37" t="str"/>
    </x:row>
    <x:row r="10" ht="38" customHeight="1">
      <x:c r="A10" s="31" t="str">
        <x:v>LINK-003</x:v>
      </x:c>
      <x:c r="B10" s="31" t="str">
        <x:v>A</x:v>
      </x:c>
      <x:c r="C10" s="31" t="str">
        <x:v>A00078</x:v>
      </x:c>
      <x:c r="D10" s="31" t="str">
        <x:v>A00061</x:v>
      </x:c>
      <x:c r="E10" s="31" t="n">
        <x:v>2</x:v>
      </x:c>
      <x:c r="F10" s="31" t="str">
        <x:f>"A00078 "&amp;UNICHAR(8594)&amp;" A00012 "&amp;UNICHAR(8594)&amp;" A00061"</x:f>
        <x:v>A00078 → A00012 → A00061</x:v>
      </x:c>
      <x:c r="G10" s="31" t="n">
        <x:v>148</x:v>
      </x:c>
      <x:c r="H10" s="35" t="n">
        <x:v>21119999.15</x:v>
      </x:c>
      <x:c r="I10" s="36" t="str">
        <x:v>2025-12-17T15:04:10.000</x:v>
      </x:c>
      <x:c r="J10" s="31" t="str">
        <x:f>UNICHAR(26159)</x:f>
        <x:v>是</x:v>
      </x:c>
      <x:c r="K10" s="31" t="n">
        <x:v>0</x:v>
      </x:c>
      <x:c r="L10" s="31" t="str">
        <x:f>"2"&amp;UNICHAR(36339)&amp;UNICHAR(20851)&amp;UNICHAR(31995)&amp;UNICHAR(65307)&amp;UNICHAR(36335)&amp;UNICHAR(24452)&amp;UNICHAR(32047)&amp;UNICHAR(35745)&amp;"148"&amp;UNICHAR(31508)&amp;UNICHAR(65307)&amp;UNICHAR(32047)&amp;UNICHAR(35745)&amp;UNICHAR(32477)&amp;UNICHAR(23545)&amp;UNICHAR(37329)&amp;UNICHAR(39069)&amp;"21,119,999.15"&amp;UNICHAR(20803)&amp;UNICHAR(65307)&amp;UNICHAR(26368)&amp;UNICHAR(36817)&amp;UNICHAR(20132)&amp;UNICHAR(26131)&amp;"2025-12-17 15:04:10"&amp;UNICHAR(65307)&amp;UNICHAR(21516)&amp;UNICHAR(31038)&amp;UNICHAR(21306)&amp;"="&amp;UNICHAR(26159)&amp;UNICHAR(65307)&amp;UNICHAR(21452)&amp;UNICHAR(21521)&amp;UNICHAR(20851)&amp;UNICHAR(31995)&amp;"0"&amp;UNICHAR(26465)</x:f>
        <x:v>2跳关系；路径累计148笔；累计绝对金额21,119,999.15元；最近交易2025-12-17 15:04:10；同社区=是；双向关系0条</x:v>
      </x:c>
      <x:c r="M10" s="34" t="str"/>
      <x:c r="N10" s="34" t="str"/>
      <x:c r="O10" s="34" t="str"/>
      <x:c r="P10" s="34" t="str"/>
      <x:c r="Q10" s="34" t="str"/>
      <x:c r="R10" s="34" t="str"/>
      <x:c r="S10" s="37" t="str"/>
    </x:row>
    <x:row r="11" ht="38" customHeight="1">
      <x:c r="A11" s="31" t="str">
        <x:v>LINK-003</x:v>
      </x:c>
      <x:c r="B11" s="31" t="str">
        <x:v>B</x:v>
      </x:c>
      <x:c r="C11" s="31" t="str">
        <x:v>A00078</x:v>
      </x:c>
      <x:c r="D11" s="31" t="str">
        <x:v>A00061</x:v>
      </x:c>
      <x:c r="E11" s="31" t="n">
        <x:v>2</x:v>
      </x:c>
      <x:c r="F11" s="31" t="str">
        <x:f>"A00078 "&amp;UNICHAR(8594)&amp;" A00012 "&amp;UNICHAR(8594)&amp;" A00061"</x:f>
        <x:v>A00078 → A00012 → A00061</x:v>
      </x:c>
      <x:c r="G11" s="31" t="n">
        <x:v>148</x:v>
      </x:c>
      <x:c r="H11" s="35" t="n">
        <x:v>21119999.15</x:v>
      </x:c>
      <x:c r="I11" s="36" t="str">
        <x:v>2025-12-17T15:04:10.000</x:v>
      </x:c>
      <x:c r="J11" s="31" t="str">
        <x:f>UNICHAR(26159)</x:f>
        <x:v>是</x:v>
      </x:c>
      <x:c r="K11" s="31" t="n">
        <x:v>0</x:v>
      </x:c>
      <x:c r="L11" s="31" t="str">
        <x:f>"2"&amp;UNICHAR(36339)&amp;UNICHAR(20851)&amp;UNICHAR(31995)&amp;UNICHAR(65307)&amp;UNICHAR(36335)&amp;UNICHAR(24452)&amp;UNICHAR(32047)&amp;UNICHAR(35745)&amp;"148"&amp;UNICHAR(31508)&amp;UNICHAR(65307)&amp;UNICHAR(32047)&amp;UNICHAR(35745)&amp;UNICHAR(32477)&amp;UNICHAR(23545)&amp;UNICHAR(37329)&amp;UNICHAR(39069)&amp;"21,119,999.15"&amp;UNICHAR(20803)&amp;UNICHAR(65307)&amp;UNICHAR(26368)&amp;UNICHAR(36817)&amp;UNICHAR(20132)&amp;UNICHAR(26131)&amp;"2025-12-17 15:04:10"&amp;UNICHAR(65307)&amp;UNICHAR(21516)&amp;UNICHAR(31038)&amp;UNICHAR(21306)&amp;"="&amp;UNICHAR(26159)&amp;UNICHAR(65307)&amp;UNICHAR(21452)&amp;UNICHAR(21521)&amp;UNICHAR(20851)&amp;UNICHAR(31995)&amp;"0"&amp;UNICHAR(26465)</x:f>
        <x:v>2跳关系；路径累计148笔；累计绝对金额21,119,999.15元；最近交易2025-12-17 15:04:10；同社区=是；双向关系0条</x:v>
      </x:c>
      <x:c r="M11" s="34" t="str"/>
      <x:c r="N11" s="34" t="str"/>
      <x:c r="O11" s="34" t="str"/>
      <x:c r="P11" s="34" t="str"/>
      <x:c r="Q11" s="34" t="str"/>
      <x:c r="R11" s="34" t="str"/>
      <x:c r="S11" s="37" t="str"/>
    </x:row>
    <x:row r="12" ht="38" customHeight="1">
      <x:c r="A12" s="31" t="str">
        <x:v>LINK-004</x:v>
      </x:c>
      <x:c r="B12" s="31" t="str">
        <x:v>A</x:v>
      </x:c>
      <x:c r="C12" s="31" t="str">
        <x:v>A00078</x:v>
      </x:c>
      <x:c r="D12" s="31" t="str">
        <x:v>A00040</x:v>
      </x:c>
      <x:c r="E12" s="31" t="n">
        <x:v>2</x:v>
      </x:c>
      <x:c r="F12" s="31" t="str">
        <x:f>"A00078 "&amp;UNICHAR(8594)&amp;" A00012 "&amp;UNICHAR(8594)&amp;" A00040"</x:f>
        <x:v>A00078 → A00012 → A00040</x:v>
      </x:c>
      <x:c r="G12" s="31" t="n">
        <x:v>42</x:v>
      </x:c>
      <x:c r="H12" s="35" t="n">
        <x:v>12520996.63</x:v>
      </x:c>
      <x:c r="I12" s="36" t="str">
        <x:v>2025-12-16T14:24:38.000</x:v>
      </x:c>
      <x:c r="J12" s="31" t="str">
        <x:f>UNICHAR(26159)</x:f>
        <x:v>是</x:v>
      </x:c>
      <x:c r="K12" s="31" t="n">
        <x:v>1</x:v>
      </x:c>
      <x:c r="L12" s="31" t="str">
        <x:f>"2"&amp;UNICHAR(36339)&amp;UNICHAR(20851)&amp;UNICHAR(31995)&amp;UNICHAR(65307)&amp;UNICHAR(36335)&amp;UNICHAR(24452)&amp;UNICHAR(32047)&amp;UNICHAR(35745)&amp;"42"&amp;UNICHAR(31508)&amp;UNICHAR(65307)&amp;UNICHAR(32047)&amp;UNICHAR(35745)&amp;UNICHAR(32477)&amp;UNICHAR(23545)&amp;UNICHAR(37329)&amp;UNICHAR(39069)&amp;"12,520,996.63"&amp;UNICHAR(20803)&amp;UNICHAR(65307)&amp;UNICHAR(26368)&amp;UNICHAR(36817)&amp;UNICHAR(20132)&amp;UNICHAR(26131)&amp;"2025-12-16 14:24:38"&amp;UNICHAR(65307)&amp;UNICHAR(21516)&amp;UNICHAR(31038)&amp;UNICHAR(21306)&amp;"="&amp;UNICHAR(26159)&amp;UNICHAR(65307)&amp;UNICHAR(21452)&amp;UNICHAR(21521)&amp;UNICHAR(20851)&amp;UNICHAR(31995)&amp;"1"&amp;UNICHAR(26465)</x:f>
        <x:v>2跳关系；路径累计42笔；累计绝对金额12,520,996.63元；最近交易2025-12-16 14:24:38；同社区=是；双向关系1条</x:v>
      </x:c>
      <x:c r="M12" s="34" t="str"/>
      <x:c r="N12" s="34" t="str"/>
      <x:c r="O12" s="34" t="str"/>
      <x:c r="P12" s="34" t="str"/>
      <x:c r="Q12" s="34" t="str"/>
      <x:c r="R12" s="34" t="str"/>
      <x:c r="S12" s="37" t="str"/>
    </x:row>
    <x:row r="13" ht="38" customHeight="1">
      <x:c r="A13" s="31" t="str">
        <x:v>LINK-004</x:v>
      </x:c>
      <x:c r="B13" s="31" t="str">
        <x:v>B</x:v>
      </x:c>
      <x:c r="C13" s="31" t="str">
        <x:v>A00078</x:v>
      </x:c>
      <x:c r="D13" s="31" t="str">
        <x:v>A00040</x:v>
      </x:c>
      <x:c r="E13" s="31" t="n">
        <x:v>2</x:v>
      </x:c>
      <x:c r="F13" s="31" t="str">
        <x:f>"A00078 "&amp;UNICHAR(8594)&amp;" A00012 "&amp;UNICHAR(8594)&amp;" A00040"</x:f>
        <x:v>A00078 → A00012 → A00040</x:v>
      </x:c>
      <x:c r="G13" s="31" t="n">
        <x:v>42</x:v>
      </x:c>
      <x:c r="H13" s="35" t="n">
        <x:v>12520996.63</x:v>
      </x:c>
      <x:c r="I13" s="36" t="str">
        <x:v>2025-12-16T14:24:38.000</x:v>
      </x:c>
      <x:c r="J13" s="31" t="str">
        <x:f>UNICHAR(26159)</x:f>
        <x:v>是</x:v>
      </x:c>
      <x:c r="K13" s="31" t="n">
        <x:v>1</x:v>
      </x:c>
      <x:c r="L13" s="31" t="str">
        <x:f>"2"&amp;UNICHAR(36339)&amp;UNICHAR(20851)&amp;UNICHAR(31995)&amp;UNICHAR(65307)&amp;UNICHAR(36335)&amp;UNICHAR(24452)&amp;UNICHAR(32047)&amp;UNICHAR(35745)&amp;"42"&amp;UNICHAR(31508)&amp;UNICHAR(65307)&amp;UNICHAR(32047)&amp;UNICHAR(35745)&amp;UNICHAR(32477)&amp;UNICHAR(23545)&amp;UNICHAR(37329)&amp;UNICHAR(39069)&amp;"12,520,996.63"&amp;UNICHAR(20803)&amp;UNICHAR(65307)&amp;UNICHAR(26368)&amp;UNICHAR(36817)&amp;UNICHAR(20132)&amp;UNICHAR(26131)&amp;"2025-12-16 14:24:38"&amp;UNICHAR(65307)&amp;UNICHAR(21516)&amp;UNICHAR(31038)&amp;UNICHAR(21306)&amp;"="&amp;UNICHAR(26159)&amp;UNICHAR(65307)&amp;UNICHAR(21452)&amp;UNICHAR(21521)&amp;UNICHAR(20851)&amp;UNICHAR(31995)&amp;"1"&amp;UNICHAR(26465)</x:f>
        <x:v>2跳关系；路径累计42笔；累计绝对金额12,520,996.63元；最近交易2025-12-16 14:24:38；同社区=是；双向关系1条</x:v>
      </x:c>
      <x:c r="M13" s="34" t="str"/>
      <x:c r="N13" s="34" t="str"/>
      <x:c r="O13" s="34" t="str"/>
      <x:c r="P13" s="34" t="str"/>
      <x:c r="Q13" s="34" t="str"/>
      <x:c r="R13" s="34" t="str"/>
      <x:c r="S13" s="37" t="str"/>
    </x:row>
    <x:row r="14" ht="38" customHeight="1">
      <x:c r="A14" s="31" t="str">
        <x:v>LINK-005</x:v>
      </x:c>
      <x:c r="B14" s="31" t="str">
        <x:v>A</x:v>
      </x:c>
      <x:c r="C14" s="31" t="str">
        <x:v>A00004</x:v>
      </x:c>
      <x:c r="D14" s="31" t="str">
        <x:v>A00072</x:v>
      </x:c>
      <x:c r="E14" s="31" t="n">
        <x:v>2</x:v>
      </x:c>
      <x:c r="F14" s="31" t="str">
        <x:f>"A00004 "&amp;UNICHAR(8594)&amp;" A00079 "&amp;UNICHAR(8594)&amp;" A00072"</x:f>
        <x:v>A00004 → A00079 → A00072</x:v>
      </x:c>
      <x:c r="G14" s="31" t="n">
        <x:v>34</x:v>
      </x:c>
      <x:c r="H14" s="35" t="n">
        <x:v>24690187.2</x:v>
      </x:c>
      <x:c r="I14" s="36" t="str">
        <x:v>2025-12-24T16:35:05.000</x:v>
      </x:c>
      <x:c r="J14" s="31" t="str">
        <x:f>UNICHAR(26159)</x:f>
        <x:v>是</x:v>
      </x:c>
      <x:c r="K14" s="31" t="n">
        <x:v>1</x:v>
      </x:c>
      <x:c r="L14" s="31" t="str">
        <x:f>"2"&amp;UNICHAR(36339)&amp;UNICHAR(20851)&amp;UNICHAR(31995)&amp;UNICHAR(65307)&amp;UNICHAR(36335)&amp;UNICHAR(24452)&amp;UNICHAR(32047)&amp;UNICHAR(35745)&amp;"34"&amp;UNICHAR(31508)&amp;UNICHAR(65307)&amp;UNICHAR(32047)&amp;UNICHAR(35745)&amp;UNICHAR(32477)&amp;UNICHAR(23545)&amp;UNICHAR(37329)&amp;UNICHAR(39069)&amp;"24,690,187.20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16:35:05"&amp;UNICHAR(65307)&amp;UNICHAR(21516)&amp;UNICHAR(31038)&amp;UNICHAR(21306)&amp;"="&amp;UNICHAR(26159)&amp;UNICHAR(65307)&amp;UNICHAR(21452)&amp;UNICHAR(21521)&amp;UNICHAR(20851)&amp;UNICHAR(31995)&amp;"1"&amp;UNICHAR(26465)</x:f>
        <x:v>2跳关系；路径累计34笔；累计绝对金额24,690,187.20元；最近交易2025-12-24 16:35:05；同社区=是；双向关系1条</x:v>
      </x:c>
      <x:c r="M14" s="34" t="str"/>
      <x:c r="N14" s="34" t="str"/>
      <x:c r="O14" s="34" t="str"/>
      <x:c r="P14" s="34" t="str"/>
      <x:c r="Q14" s="34" t="str"/>
      <x:c r="R14" s="34" t="str"/>
      <x:c r="S14" s="37" t="str"/>
    </x:row>
    <x:row r="15" ht="38" customHeight="1">
      <x:c r="A15" s="31" t="str">
        <x:v>LINK-005</x:v>
      </x:c>
      <x:c r="B15" s="31" t="str">
        <x:v>B</x:v>
      </x:c>
      <x:c r="C15" s="31" t="str">
        <x:v>A00004</x:v>
      </x:c>
      <x:c r="D15" s="31" t="str">
        <x:v>A00072</x:v>
      </x:c>
      <x:c r="E15" s="31" t="n">
        <x:v>2</x:v>
      </x:c>
      <x:c r="F15" s="31" t="str">
        <x:f>"A00004 "&amp;UNICHAR(8594)&amp;" A00079 "&amp;UNICHAR(8594)&amp;" A00072"</x:f>
        <x:v>A00004 → A00079 → A00072</x:v>
      </x:c>
      <x:c r="G15" s="31" t="n">
        <x:v>34</x:v>
      </x:c>
      <x:c r="H15" s="35" t="n">
        <x:v>24690187.2</x:v>
      </x:c>
      <x:c r="I15" s="36" t="str">
        <x:v>2025-12-24T16:35:05.000</x:v>
      </x:c>
      <x:c r="J15" s="31" t="str">
        <x:f>UNICHAR(26159)</x:f>
        <x:v>是</x:v>
      </x:c>
      <x:c r="K15" s="31" t="n">
        <x:v>1</x:v>
      </x:c>
      <x:c r="L15" s="31" t="str">
        <x:f>"2"&amp;UNICHAR(36339)&amp;UNICHAR(20851)&amp;UNICHAR(31995)&amp;UNICHAR(65307)&amp;UNICHAR(36335)&amp;UNICHAR(24452)&amp;UNICHAR(32047)&amp;UNICHAR(35745)&amp;"34"&amp;UNICHAR(31508)&amp;UNICHAR(65307)&amp;UNICHAR(32047)&amp;UNICHAR(35745)&amp;UNICHAR(32477)&amp;UNICHAR(23545)&amp;UNICHAR(37329)&amp;UNICHAR(39069)&amp;"24,690,187.20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16:35:05"&amp;UNICHAR(65307)&amp;UNICHAR(21516)&amp;UNICHAR(31038)&amp;UNICHAR(21306)&amp;"="&amp;UNICHAR(26159)&amp;UNICHAR(65307)&amp;UNICHAR(21452)&amp;UNICHAR(21521)&amp;UNICHAR(20851)&amp;UNICHAR(31995)&amp;"1"&amp;UNICHAR(26465)</x:f>
        <x:v>2跳关系；路径累计34笔；累计绝对金额24,690,187.20元；最近交易2025-12-24 16:35:05；同社区=是；双向关系1条</x:v>
      </x:c>
      <x:c r="M15" s="34" t="str"/>
      <x:c r="N15" s="34" t="str"/>
      <x:c r="O15" s="34" t="str"/>
      <x:c r="P15" s="34" t="str"/>
      <x:c r="Q15" s="34" t="str"/>
      <x:c r="R15" s="34" t="str"/>
      <x:c r="S15" s="37" t="str"/>
    </x:row>
    <x:row r="16" ht="38" customHeight="1">
      <x:c r="A16" s="31" t="str">
        <x:v>LINK-006</x:v>
      </x:c>
      <x:c r="B16" s="31" t="str">
        <x:v>A</x:v>
      </x:c>
      <x:c r="C16" s="31" t="str">
        <x:v>A00022</x:v>
      </x:c>
      <x:c r="D16" s="31" t="str">
        <x:v>A00009</x:v>
      </x:c>
      <x:c r="E16" s="31" t="n">
        <x:v>2</x:v>
      </x:c>
      <x:c r="F16" s="31" t="str">
        <x:f>"A00022 "&amp;UNICHAR(8594)&amp;" A00091 "&amp;UNICHAR(8594)&amp;" A00009"</x:f>
        <x:v>A00022 → A00091 → A00009</x:v>
      </x:c>
      <x:c r="G16" s="31" t="n">
        <x:v>22</x:v>
      </x:c>
      <x:c r="H16" s="35" t="n">
        <x:v>8542438</x:v>
      </x:c>
      <x:c r="I16" s="36" t="str">
        <x:v>2025-12-25T10:43:24.000</x:v>
      </x:c>
      <x:c r="J16" s="31" t="str">
        <x:f>UNICHAR(26159)</x:f>
        <x:v>是</x:v>
      </x:c>
      <x:c r="K16" s="31" t="n">
        <x:v>0</x:v>
      </x:c>
      <x:c r="L16" s="31" t="str">
        <x:f>"2"&amp;UNICHAR(36339)&amp;UNICHAR(20851)&amp;UNICHAR(31995)&amp;UNICHAR(65307)&amp;UNICHAR(36335)&amp;UNICHAR(24452)&amp;UNICHAR(32047)&amp;UNICHAR(35745)&amp;"22"&amp;UNICHAR(31508)&amp;UNICHAR(65307)&amp;UNICHAR(32047)&amp;UNICHAR(35745)&amp;UNICHAR(32477)&amp;UNICHAR(23545)&amp;UNICHAR(37329)&amp;UNICHAR(39069)&amp;"8,542,438.00"&amp;UNICHAR(20803)&amp;UNICHAR(65307)&amp;UNICHAR(26368)&amp;UNICHAR(36817)&amp;UNICHAR(20132)&amp;UNICHAR(26131)&amp;"2025-12-25 10:43:24"&amp;UNICHAR(65307)&amp;UNICHAR(21516)&amp;UNICHAR(31038)&amp;UNICHAR(21306)&amp;"="&amp;UNICHAR(26159)&amp;UNICHAR(65307)&amp;UNICHAR(21452)&amp;UNICHAR(21521)&amp;UNICHAR(20851)&amp;UNICHAR(31995)&amp;"0"&amp;UNICHAR(26465)</x:f>
        <x:v>2跳关系；路径累计22笔；累计绝对金额8,542,438.00元；最近交易2025-12-25 10:43:24；同社区=是；双向关系0条</x:v>
      </x:c>
      <x:c r="M16" s="34" t="str"/>
      <x:c r="N16" s="34" t="str"/>
      <x:c r="O16" s="34" t="str"/>
      <x:c r="P16" s="34" t="str"/>
      <x:c r="Q16" s="34" t="str"/>
      <x:c r="R16" s="34" t="str"/>
      <x:c r="S16" s="37" t="str"/>
    </x:row>
    <x:row r="17" ht="38" customHeight="1">
      <x:c r="A17" s="31" t="str">
        <x:v>LINK-006</x:v>
      </x:c>
      <x:c r="B17" s="31" t="str">
        <x:v>B</x:v>
      </x:c>
      <x:c r="C17" s="31" t="str">
        <x:v>A00022</x:v>
      </x:c>
      <x:c r="D17" s="31" t="str">
        <x:v>A00009</x:v>
      </x:c>
      <x:c r="E17" s="31" t="n">
        <x:v>2</x:v>
      </x:c>
      <x:c r="F17" s="31" t="str">
        <x:f>"A00022 "&amp;UNICHAR(8594)&amp;" A00091 "&amp;UNICHAR(8594)&amp;" A00009"</x:f>
        <x:v>A00022 → A00091 → A00009</x:v>
      </x:c>
      <x:c r="G17" s="31" t="n">
        <x:v>22</x:v>
      </x:c>
      <x:c r="H17" s="35" t="n">
        <x:v>8542438</x:v>
      </x:c>
      <x:c r="I17" s="36" t="str">
        <x:v>2025-12-25T10:43:24.000</x:v>
      </x:c>
      <x:c r="J17" s="31" t="str">
        <x:f>UNICHAR(26159)</x:f>
        <x:v>是</x:v>
      </x:c>
      <x:c r="K17" s="31" t="n">
        <x:v>0</x:v>
      </x:c>
      <x:c r="L17" s="31" t="str">
        <x:f>"2"&amp;UNICHAR(36339)&amp;UNICHAR(20851)&amp;UNICHAR(31995)&amp;UNICHAR(65307)&amp;UNICHAR(36335)&amp;UNICHAR(24452)&amp;UNICHAR(32047)&amp;UNICHAR(35745)&amp;"22"&amp;UNICHAR(31508)&amp;UNICHAR(65307)&amp;UNICHAR(32047)&amp;UNICHAR(35745)&amp;UNICHAR(32477)&amp;UNICHAR(23545)&amp;UNICHAR(37329)&amp;UNICHAR(39069)&amp;"8,542,438.00"&amp;UNICHAR(20803)&amp;UNICHAR(65307)&amp;UNICHAR(26368)&amp;UNICHAR(36817)&amp;UNICHAR(20132)&amp;UNICHAR(26131)&amp;"2025-12-25 10:43:24"&amp;UNICHAR(65307)&amp;UNICHAR(21516)&amp;UNICHAR(31038)&amp;UNICHAR(21306)&amp;"="&amp;UNICHAR(26159)&amp;UNICHAR(65307)&amp;UNICHAR(21452)&amp;UNICHAR(21521)&amp;UNICHAR(20851)&amp;UNICHAR(31995)&amp;"0"&amp;UNICHAR(26465)</x:f>
        <x:v>2跳关系；路径累计22笔；累计绝对金额8,542,438.00元；最近交易2025-12-25 10:43:24；同社区=是；双向关系0条</x:v>
      </x:c>
      <x:c r="M17" s="34" t="str"/>
      <x:c r="N17" s="34" t="str"/>
      <x:c r="O17" s="34" t="str"/>
      <x:c r="P17" s="34" t="str"/>
      <x:c r="Q17" s="34" t="str"/>
      <x:c r="R17" s="34" t="str"/>
      <x:c r="S17" s="37" t="str"/>
    </x:row>
    <x:row r="18" ht="38" customHeight="1">
      <x:c r="A18" s="31" t="str">
        <x:v>LINK-007</x:v>
      </x:c>
      <x:c r="B18" s="31" t="str">
        <x:v>A</x:v>
      </x:c>
      <x:c r="C18" s="31" t="str">
        <x:v>A00022</x:v>
      </x:c>
      <x:c r="D18" s="31" t="str">
        <x:v>A00007</x:v>
      </x:c>
      <x:c r="E18" s="31" t="n">
        <x:v>2</x:v>
      </x:c>
      <x:c r="F18" s="31" t="str">
        <x:f>"A00022 "&amp;UNICHAR(8594)&amp;" A00091 "&amp;UNICHAR(8594)&amp;" A00007"</x:f>
        <x:v>A00022 → A00091 → A00007</x:v>
      </x:c>
      <x:c r="G18" s="31" t="n">
        <x:v>49</x:v>
      </x:c>
      <x:c r="H18" s="35" t="n">
        <x:v>1210334</x:v>
      </x:c>
      <x:c r="I18" s="36" t="str">
        <x:v>2025-12-11T14:07:41.000</x:v>
      </x:c>
      <x:c r="J18" s="31" t="str">
        <x:f>UNICHAR(26159)</x:f>
        <x:v>是</x:v>
      </x:c>
      <x:c r="K18" s="31" t="n">
        <x:v>0</x:v>
      </x:c>
      <x:c r="L18" s="31" t="str">
        <x:f>"2"&amp;UNICHAR(36339)&amp;UNICHAR(20851)&amp;UNICHAR(31995)&amp;UNICHAR(65307)&amp;UNICHAR(36335)&amp;UNICHAR(24452)&amp;UNICHAR(32047)&amp;UNICHAR(35745)&amp;"49"&amp;UNICHAR(31508)&amp;UNICHAR(65307)&amp;UNICHAR(32047)&amp;UNICHAR(35745)&amp;UNICHAR(32477)&amp;UNICHAR(23545)&amp;UNICHAR(37329)&amp;UNICHAR(39069)&amp;"1,210,334.00"&amp;UNICHAR(20803)&amp;UNICHAR(65307)&amp;UNICHAR(26368)&amp;UNICHAR(36817)&amp;UNICHAR(20132)&amp;UNICHAR(26131)&amp;"2025-12-11 14:07:41"&amp;UNICHAR(65307)&amp;UNICHAR(21516)&amp;UNICHAR(31038)&amp;UNICHAR(21306)&amp;"="&amp;UNICHAR(26159)&amp;UNICHAR(65307)&amp;UNICHAR(21452)&amp;UNICHAR(21521)&amp;UNICHAR(20851)&amp;UNICHAR(31995)&amp;"0"&amp;UNICHAR(26465)</x:f>
        <x:v>2跳关系；路径累计49笔；累计绝对金额1,210,334.00元；最近交易2025-12-11 14:07:41；同社区=是；双向关系0条</x:v>
      </x:c>
      <x:c r="M18" s="34" t="str"/>
      <x:c r="N18" s="34" t="str"/>
      <x:c r="O18" s="34" t="str"/>
      <x:c r="P18" s="34" t="str"/>
      <x:c r="Q18" s="34" t="str"/>
      <x:c r="R18" s="34" t="str"/>
      <x:c r="S18" s="37" t="str"/>
    </x:row>
    <x:row r="19" ht="38" customHeight="1">
      <x:c r="A19" s="31" t="str">
        <x:v>LINK-007</x:v>
      </x:c>
      <x:c r="B19" s="31" t="str">
        <x:v>B</x:v>
      </x:c>
      <x:c r="C19" s="31" t="str">
        <x:v>A00022</x:v>
      </x:c>
      <x:c r="D19" s="31" t="str">
        <x:v>A00007</x:v>
      </x:c>
      <x:c r="E19" s="31" t="n">
        <x:v>2</x:v>
      </x:c>
      <x:c r="F19" s="31" t="str">
        <x:f>"A00022 "&amp;UNICHAR(8594)&amp;" A00091 "&amp;UNICHAR(8594)&amp;" A00007"</x:f>
        <x:v>A00022 → A00091 → A00007</x:v>
      </x:c>
      <x:c r="G19" s="31" t="n">
        <x:v>49</x:v>
      </x:c>
      <x:c r="H19" s="35" t="n">
        <x:v>1210334</x:v>
      </x:c>
      <x:c r="I19" s="36" t="str">
        <x:v>2025-12-11T14:07:41.000</x:v>
      </x:c>
      <x:c r="J19" s="31" t="str">
        <x:f>UNICHAR(26159)</x:f>
        <x:v>是</x:v>
      </x:c>
      <x:c r="K19" s="31" t="n">
        <x:v>0</x:v>
      </x:c>
      <x:c r="L19" s="31" t="str">
        <x:f>"2"&amp;UNICHAR(36339)&amp;UNICHAR(20851)&amp;UNICHAR(31995)&amp;UNICHAR(65307)&amp;UNICHAR(36335)&amp;UNICHAR(24452)&amp;UNICHAR(32047)&amp;UNICHAR(35745)&amp;"49"&amp;UNICHAR(31508)&amp;UNICHAR(65307)&amp;UNICHAR(32047)&amp;UNICHAR(35745)&amp;UNICHAR(32477)&amp;UNICHAR(23545)&amp;UNICHAR(37329)&amp;UNICHAR(39069)&amp;"1,210,334.00"&amp;UNICHAR(20803)&amp;UNICHAR(65307)&amp;UNICHAR(26368)&amp;UNICHAR(36817)&amp;UNICHAR(20132)&amp;UNICHAR(26131)&amp;"2025-12-11 14:07:41"&amp;UNICHAR(65307)&amp;UNICHAR(21516)&amp;UNICHAR(31038)&amp;UNICHAR(21306)&amp;"="&amp;UNICHAR(26159)&amp;UNICHAR(65307)&amp;UNICHAR(21452)&amp;UNICHAR(21521)&amp;UNICHAR(20851)&amp;UNICHAR(31995)&amp;"0"&amp;UNICHAR(26465)</x:f>
        <x:v>2跳关系；路径累计49笔；累计绝对金额1,210,334.00元；最近交易2025-12-11 14:07:41；同社区=是；双向关系0条</x:v>
      </x:c>
      <x:c r="M19" s="34" t="str"/>
      <x:c r="N19" s="34" t="str"/>
      <x:c r="O19" s="34" t="str"/>
      <x:c r="P19" s="34" t="str"/>
      <x:c r="Q19" s="34" t="str"/>
      <x:c r="R19" s="34" t="str"/>
      <x:c r="S19" s="37" t="str"/>
    </x:row>
    <x:row r="20" ht="38" customHeight="1">
      <x:c r="A20" s="31" t="str">
        <x:v>LINK-008</x:v>
      </x:c>
      <x:c r="B20" s="31" t="str">
        <x:v>A</x:v>
      </x:c>
      <x:c r="C20" s="31" t="str">
        <x:v>A00045</x:v>
      </x:c>
      <x:c r="D20" s="31" t="str">
        <x:v>A00011</x:v>
      </x:c>
      <x:c r="E20" s="31" t="n">
        <x:v>2</x:v>
      </x:c>
      <x:c r="F20" s="31" t="str">
        <x:f>"A00045 "&amp;UNICHAR(8594)&amp;" A00074 "&amp;UNICHAR(8594)&amp;" A00011"</x:f>
        <x:v>A00045 → A00074 → A00011</x:v>
      </x:c>
      <x:c r="G20" s="31" t="n">
        <x:v>176</x:v>
      </x:c>
      <x:c r="H20" s="35" t="n">
        <x:v>2423792223.67</x:v>
      </x:c>
      <x:c r="I20" s="36" t="str">
        <x:v>2025-12-31T15:32:57.000</x:v>
      </x:c>
      <x:c r="J20" s="31" t="str">
        <x:f>UNICHAR(26159)</x:f>
        <x:v>是</x:v>
      </x:c>
      <x:c r="K20" s="31" t="n">
        <x:v>2</x:v>
      </x:c>
      <x:c r="L20" s="31" t="str">
        <x:f>"2"&amp;UNICHAR(36339)&amp;UNICHAR(20851)&amp;UNICHAR(31995)&amp;UNICHAR(65307)&amp;UNICHAR(36335)&amp;UNICHAR(24452)&amp;UNICHAR(32047)&amp;UNICHAR(35745)&amp;"176"&amp;UNICHAR(31508)&amp;UNICHAR(65307)&amp;UNICHAR(32047)&amp;UNICHAR(35745)&amp;UNICHAR(32477)&amp;UNICHAR(23545)&amp;UNICHAR(37329)&amp;UNICHAR(39069)&amp;"2,423,792,223.67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2跳关系；路径累计176笔；累计绝对金额2,423,792,223.67元；最近交易2025-12-31 15:32:57；同社区=是；双向关系2条</x:v>
      </x:c>
      <x:c r="M20" s="34" t="str"/>
      <x:c r="N20" s="34" t="str"/>
      <x:c r="O20" s="34" t="str"/>
      <x:c r="P20" s="34" t="str"/>
      <x:c r="Q20" s="34" t="str"/>
      <x:c r="R20" s="34" t="str"/>
      <x:c r="S20" s="37" t="str"/>
    </x:row>
    <x:row r="21" ht="38" customHeight="1">
      <x:c r="A21" s="31" t="str">
        <x:v>LINK-008</x:v>
      </x:c>
      <x:c r="B21" s="31" t="str">
        <x:v>B</x:v>
      </x:c>
      <x:c r="C21" s="31" t="str">
        <x:v>A00045</x:v>
      </x:c>
      <x:c r="D21" s="31" t="str">
        <x:v>A00011</x:v>
      </x:c>
      <x:c r="E21" s="31" t="n">
        <x:v>2</x:v>
      </x:c>
      <x:c r="F21" s="31" t="str">
        <x:f>"A00045 "&amp;UNICHAR(8594)&amp;" A00074 "&amp;UNICHAR(8594)&amp;" A00011"</x:f>
        <x:v>A00045 → A00074 → A00011</x:v>
      </x:c>
      <x:c r="G21" s="31" t="n">
        <x:v>176</x:v>
      </x:c>
      <x:c r="H21" s="35" t="n">
        <x:v>2423792223.67</x:v>
      </x:c>
      <x:c r="I21" s="36" t="str">
        <x:v>2025-12-31T15:32:57.000</x:v>
      </x:c>
      <x:c r="J21" s="31" t="str">
        <x:f>UNICHAR(26159)</x:f>
        <x:v>是</x:v>
      </x:c>
      <x:c r="K21" s="31" t="n">
        <x:v>2</x:v>
      </x:c>
      <x:c r="L21" s="31" t="str">
        <x:f>"2"&amp;UNICHAR(36339)&amp;UNICHAR(20851)&amp;UNICHAR(31995)&amp;UNICHAR(65307)&amp;UNICHAR(36335)&amp;UNICHAR(24452)&amp;UNICHAR(32047)&amp;UNICHAR(35745)&amp;"176"&amp;UNICHAR(31508)&amp;UNICHAR(65307)&amp;UNICHAR(32047)&amp;UNICHAR(35745)&amp;UNICHAR(32477)&amp;UNICHAR(23545)&amp;UNICHAR(37329)&amp;UNICHAR(39069)&amp;"2,423,792,223.67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2跳关系；路径累计176笔；累计绝对金额2,423,792,223.67元；最近交易2025-12-31 15:32:57；同社区=是；双向关系2条</x:v>
      </x:c>
      <x:c r="M21" s="34" t="str"/>
      <x:c r="N21" s="34" t="str"/>
      <x:c r="O21" s="34" t="str"/>
      <x:c r="P21" s="34" t="str"/>
      <x:c r="Q21" s="34" t="str"/>
      <x:c r="R21" s="34" t="str"/>
      <x:c r="S21" s="37" t="str"/>
    </x:row>
    <x:row r="22" ht="38" customHeight="1">
      <x:c r="A22" s="31" t="str">
        <x:v>LINK-009</x:v>
      </x:c>
      <x:c r="B22" s="31" t="str">
        <x:v>A</x:v>
      </x:c>
      <x:c r="C22" s="31" t="str">
        <x:v>A00022</x:v>
      </x:c>
      <x:c r="D22" s="31" t="str">
        <x:v>A00003</x:v>
      </x:c>
      <x:c r="E22" s="31" t="n">
        <x:v>2</x:v>
      </x:c>
      <x:c r="F22" s="31" t="str">
        <x:f>"A00022 "&amp;UNICHAR(8594)&amp;" A00091 "&amp;UNICHAR(8594)&amp;" A00003"</x:f>
        <x:v>A00022 → A00091 → A00003</x:v>
      </x:c>
      <x:c r="G22" s="31" t="n">
        <x:v>33</x:v>
      </x:c>
      <x:c r="H22" s="35" t="n">
        <x:v>6009057</x:v>
      </x:c>
      <x:c r="I22" s="36" t="str">
        <x:v>2025-12-30T15:52:06.000</x:v>
      </x:c>
      <x:c r="J22" s="31" t="str">
        <x:f>UNICHAR(26159)</x:f>
        <x:v>是</x:v>
      </x:c>
      <x:c r="K22" s="31" t="n">
        <x:v>0</x:v>
      </x:c>
      <x:c r="L22" s="31" t="str">
        <x:f>"2"&amp;UNICHAR(36339)&amp;UNICHAR(20851)&amp;UNICHAR(31995)&amp;UNICHAR(65307)&amp;UNICHAR(36335)&amp;UNICHAR(24452)&amp;UNICHAR(32047)&amp;UNICHAR(35745)&amp;"33"&amp;UNICHAR(31508)&amp;UNICHAR(65307)&amp;UNICHAR(32047)&amp;UNICHAR(35745)&amp;UNICHAR(32477)&amp;UNICHAR(23545)&amp;UNICHAR(37329)&amp;UNICHAR(39069)&amp;"6,009,057.00"&amp;UNICHAR(20803)&amp;UNICHAR(65307)&amp;UNICHAR(26368)&amp;UNICHAR(36817)&amp;UNICHAR(20132)&amp;UNICHAR(26131)&amp;"2025-12-30 15:52:06"&amp;UNICHAR(65307)&amp;UNICHAR(21516)&amp;UNICHAR(31038)&amp;UNICHAR(21306)&amp;"="&amp;UNICHAR(26159)&amp;UNICHAR(65307)&amp;UNICHAR(21452)&amp;UNICHAR(21521)&amp;UNICHAR(20851)&amp;UNICHAR(31995)&amp;"0"&amp;UNICHAR(26465)</x:f>
        <x:v>2跳关系；路径累计33笔；累计绝对金额6,009,057.00元；最近交易2025-12-30 15:52:06；同社区=是；双向关系0条</x:v>
      </x:c>
      <x:c r="M22" s="34" t="str"/>
      <x:c r="N22" s="34" t="str"/>
      <x:c r="O22" s="34" t="str"/>
      <x:c r="P22" s="34" t="str"/>
      <x:c r="Q22" s="34" t="str"/>
      <x:c r="R22" s="34" t="str"/>
      <x:c r="S22" s="37" t="str"/>
    </x:row>
    <x:row r="23" ht="38" customHeight="1">
      <x:c r="A23" s="31" t="str">
        <x:v>LINK-009</x:v>
      </x:c>
      <x:c r="B23" s="31" t="str">
        <x:v>B</x:v>
      </x:c>
      <x:c r="C23" s="31" t="str">
        <x:v>A00022</x:v>
      </x:c>
      <x:c r="D23" s="31" t="str">
        <x:v>A00003</x:v>
      </x:c>
      <x:c r="E23" s="31" t="n">
        <x:v>2</x:v>
      </x:c>
      <x:c r="F23" s="31" t="str">
        <x:f>"A00022 "&amp;UNICHAR(8594)&amp;" A00091 "&amp;UNICHAR(8594)&amp;" A00003"</x:f>
        <x:v>A00022 → A00091 → A00003</x:v>
      </x:c>
      <x:c r="G23" s="31" t="n">
        <x:v>33</x:v>
      </x:c>
      <x:c r="H23" s="35" t="n">
        <x:v>6009057</x:v>
      </x:c>
      <x:c r="I23" s="36" t="str">
        <x:v>2025-12-30T15:52:06.000</x:v>
      </x:c>
      <x:c r="J23" s="31" t="str">
        <x:f>UNICHAR(26159)</x:f>
        <x:v>是</x:v>
      </x:c>
      <x:c r="K23" s="31" t="n">
        <x:v>0</x:v>
      </x:c>
      <x:c r="L23" s="31" t="str">
        <x:f>"2"&amp;UNICHAR(36339)&amp;UNICHAR(20851)&amp;UNICHAR(31995)&amp;UNICHAR(65307)&amp;UNICHAR(36335)&amp;UNICHAR(24452)&amp;UNICHAR(32047)&amp;UNICHAR(35745)&amp;"33"&amp;UNICHAR(31508)&amp;UNICHAR(65307)&amp;UNICHAR(32047)&amp;UNICHAR(35745)&amp;UNICHAR(32477)&amp;UNICHAR(23545)&amp;UNICHAR(37329)&amp;UNICHAR(39069)&amp;"6,009,057.00"&amp;UNICHAR(20803)&amp;UNICHAR(65307)&amp;UNICHAR(26368)&amp;UNICHAR(36817)&amp;UNICHAR(20132)&amp;UNICHAR(26131)&amp;"2025-12-30 15:52:06"&amp;UNICHAR(65307)&amp;UNICHAR(21516)&amp;UNICHAR(31038)&amp;UNICHAR(21306)&amp;"="&amp;UNICHAR(26159)&amp;UNICHAR(65307)&amp;UNICHAR(21452)&amp;UNICHAR(21521)&amp;UNICHAR(20851)&amp;UNICHAR(31995)&amp;"0"&amp;UNICHAR(26465)</x:f>
        <x:v>2跳关系；路径累计33笔；累计绝对金额6,009,057.00元；最近交易2025-12-30 15:52:06；同社区=是；双向关系0条</x:v>
      </x:c>
      <x:c r="M23" s="34" t="str"/>
      <x:c r="N23" s="34" t="str"/>
      <x:c r="O23" s="34" t="str"/>
      <x:c r="P23" s="34" t="str"/>
      <x:c r="Q23" s="34" t="str"/>
      <x:c r="R23" s="34" t="str"/>
      <x:c r="S23" s="37" t="str"/>
    </x:row>
    <x:row r="24" ht="38" customHeight="1">
      <x:c r="A24" s="31" t="str">
        <x:v>LINK-010</x:v>
      </x:c>
      <x:c r="B24" s="31" t="str">
        <x:v>A</x:v>
      </x:c>
      <x:c r="C24" s="31" t="str">
        <x:v>A00022</x:v>
      </x:c>
      <x:c r="D24" s="31" t="str">
        <x:v>A00002</x:v>
      </x:c>
      <x:c r="E24" s="31" t="n">
        <x:v>3</x:v>
      </x:c>
      <x:c r="F24" s="31" t="str">
        <x:f>"A00022 "&amp;UNICHAR(8594)&amp;" A00091 "&amp;UNICHAR(8594)&amp;" A00021 "&amp;UNICHAR(8594)&amp;" A00002"</x:f>
        <x:v>A00022 → A00091 → A00021 → A00002</x:v>
      </x:c>
      <x:c r="G24" s="31" t="n">
        <x:v>99</x:v>
      </x:c>
      <x:c r="H24" s="35" t="n">
        <x:v>26743682</x:v>
      </x:c>
      <x:c r="I24" s="36" t="str">
        <x:v>2025-12-25T13:54:23.000</x:v>
      </x:c>
      <x:c r="J24" s="31" t="str">
        <x:f>UNICHAR(26159)</x:f>
        <x:v>是</x:v>
      </x:c>
      <x:c r="K24" s="31" t="n">
        <x:v>0</x:v>
      </x:c>
      <x:c r="L24" s="31" t="str">
        <x:f>"3"&amp;UNICHAR(36339)&amp;UNICHAR(20851)&amp;UNICHAR(31995)&amp;UNICHAR(65307)&amp;UNICHAR(36335)&amp;UNICHAR(24452)&amp;UNICHAR(32047)&amp;UNICHAR(35745)&amp;"99"&amp;UNICHAR(31508)&amp;UNICHAR(65307)&amp;UNICHAR(32047)&amp;UNICHAR(35745)&amp;UNICHAR(32477)&amp;UNICHAR(23545)&amp;UNICHAR(37329)&amp;UNICHAR(39069)&amp;"26,743,682.00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3跳关系；路径累计99笔；累计绝对金额26,743,682.00元；最近交易2025-12-25 13:54:23；同社区=是；双向关系0条</x:v>
      </x:c>
      <x:c r="M24" s="34" t="str"/>
      <x:c r="N24" s="34" t="str"/>
      <x:c r="O24" s="34" t="str"/>
      <x:c r="P24" s="34" t="str"/>
      <x:c r="Q24" s="34" t="str"/>
      <x:c r="R24" s="34" t="str"/>
      <x:c r="S24" s="37" t="str"/>
    </x:row>
    <x:row r="25" ht="38" customHeight="1">
      <x:c r="A25" s="31" t="str">
        <x:v>LINK-010</x:v>
      </x:c>
      <x:c r="B25" s="31" t="str">
        <x:v>B</x:v>
      </x:c>
      <x:c r="C25" s="31" t="str">
        <x:v>A00022</x:v>
      </x:c>
      <x:c r="D25" s="31" t="str">
        <x:v>A00002</x:v>
      </x:c>
      <x:c r="E25" s="31" t="n">
        <x:v>3</x:v>
      </x:c>
      <x:c r="F25" s="31" t="str">
        <x:f>"A00022 "&amp;UNICHAR(8594)&amp;" A00091 "&amp;UNICHAR(8594)&amp;" A00021 "&amp;UNICHAR(8594)&amp;" A00002"</x:f>
        <x:v>A00022 → A00091 → A00021 → A00002</x:v>
      </x:c>
      <x:c r="G25" s="31" t="n">
        <x:v>99</x:v>
      </x:c>
      <x:c r="H25" s="35" t="n">
        <x:v>26743682</x:v>
      </x:c>
      <x:c r="I25" s="36" t="str">
        <x:v>2025-12-25T13:54:23.000</x:v>
      </x:c>
      <x:c r="J25" s="31" t="str">
        <x:f>UNICHAR(26159)</x:f>
        <x:v>是</x:v>
      </x:c>
      <x:c r="K25" s="31" t="n">
        <x:v>0</x:v>
      </x:c>
      <x:c r="L25" s="31" t="str">
        <x:f>"3"&amp;UNICHAR(36339)&amp;UNICHAR(20851)&amp;UNICHAR(31995)&amp;UNICHAR(65307)&amp;UNICHAR(36335)&amp;UNICHAR(24452)&amp;UNICHAR(32047)&amp;UNICHAR(35745)&amp;"99"&amp;UNICHAR(31508)&amp;UNICHAR(65307)&amp;UNICHAR(32047)&amp;UNICHAR(35745)&amp;UNICHAR(32477)&amp;UNICHAR(23545)&amp;UNICHAR(37329)&amp;UNICHAR(39069)&amp;"26,743,682.00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3跳关系；路径累计99笔；累计绝对金额26,743,682.00元；最近交易2025-12-25 13:54:23；同社区=是；双向关系0条</x:v>
      </x:c>
      <x:c r="M25" s="34" t="str"/>
      <x:c r="N25" s="34" t="str"/>
      <x:c r="O25" s="34" t="str"/>
      <x:c r="P25" s="34" t="str"/>
      <x:c r="Q25" s="34" t="str"/>
      <x:c r="R25" s="34" t="str"/>
      <x:c r="S25" s="37" t="str"/>
    </x:row>
    <x:row r="26" ht="38" customHeight="1">
      <x:c r="A26" s="31" t="str">
        <x:v>LINK-011</x:v>
      </x:c>
      <x:c r="B26" s="31" t="str">
        <x:v>A</x:v>
      </x:c>
      <x:c r="C26" s="31" t="str">
        <x:v>A00022</x:v>
      </x:c>
      <x:c r="D26" s="31" t="str">
        <x:v>A00038</x:v>
      </x:c>
      <x:c r="E26" s="31" t="n">
        <x:v>2</x:v>
      </x:c>
      <x:c r="F26" s="31" t="str">
        <x:f>"A00022 "&amp;UNICHAR(8594)&amp;" A00091 "&amp;UNICHAR(8594)&amp;" A00038"</x:f>
        <x:v>A00022 → A00091 → A00038</x:v>
      </x:c>
      <x:c r="G26" s="31" t="n">
        <x:v>49</x:v>
      </x:c>
      <x:c r="H26" s="35" t="n">
        <x:v>1210334</x:v>
      </x:c>
      <x:c r="I26" s="36" t="str">
        <x:v>2025-12-11T14:07:41.000</x:v>
      </x:c>
      <x:c r="J26" s="31" t="str">
        <x:f>UNICHAR(26159)</x:f>
        <x:v>是</x:v>
      </x:c>
      <x:c r="K26" s="31" t="n">
        <x:v>0</x:v>
      </x:c>
      <x:c r="L26" s="31" t="str">
        <x:f>"2"&amp;UNICHAR(36339)&amp;UNICHAR(20851)&amp;UNICHAR(31995)&amp;UNICHAR(65307)&amp;UNICHAR(36335)&amp;UNICHAR(24452)&amp;UNICHAR(32047)&amp;UNICHAR(35745)&amp;"49"&amp;UNICHAR(31508)&amp;UNICHAR(65307)&amp;UNICHAR(32047)&amp;UNICHAR(35745)&amp;UNICHAR(32477)&amp;UNICHAR(23545)&amp;UNICHAR(37329)&amp;UNICHAR(39069)&amp;"1,210,334.00"&amp;UNICHAR(20803)&amp;UNICHAR(65307)&amp;UNICHAR(26368)&amp;UNICHAR(36817)&amp;UNICHAR(20132)&amp;UNICHAR(26131)&amp;"2025-12-11 14:07:41"&amp;UNICHAR(65307)&amp;UNICHAR(21516)&amp;UNICHAR(31038)&amp;UNICHAR(21306)&amp;"="&amp;UNICHAR(26159)&amp;UNICHAR(65307)&amp;UNICHAR(21452)&amp;UNICHAR(21521)&amp;UNICHAR(20851)&amp;UNICHAR(31995)&amp;"0"&amp;UNICHAR(26465)</x:f>
        <x:v>2跳关系；路径累计49笔；累计绝对金额1,210,334.00元；最近交易2025-12-11 14:07:41；同社区=是；双向关系0条</x:v>
      </x:c>
      <x:c r="M26" s="34" t="str"/>
      <x:c r="N26" s="34" t="str"/>
      <x:c r="O26" s="34" t="str"/>
      <x:c r="P26" s="34" t="str"/>
      <x:c r="Q26" s="34" t="str"/>
      <x:c r="R26" s="34" t="str"/>
      <x:c r="S26" s="37" t="str"/>
    </x:row>
    <x:row r="27" ht="38" customHeight="1">
      <x:c r="A27" s="31" t="str">
        <x:v>LINK-011</x:v>
      </x:c>
      <x:c r="B27" s="31" t="str">
        <x:v>B</x:v>
      </x:c>
      <x:c r="C27" s="31" t="str">
        <x:v>A00022</x:v>
      </x:c>
      <x:c r="D27" s="31" t="str">
        <x:v>A00038</x:v>
      </x:c>
      <x:c r="E27" s="31" t="n">
        <x:v>2</x:v>
      </x:c>
      <x:c r="F27" s="31" t="str">
        <x:f>"A00022 "&amp;UNICHAR(8594)&amp;" A00091 "&amp;UNICHAR(8594)&amp;" A00038"</x:f>
        <x:v>A00022 → A00091 → A00038</x:v>
      </x:c>
      <x:c r="G27" s="31" t="n">
        <x:v>49</x:v>
      </x:c>
      <x:c r="H27" s="35" t="n">
        <x:v>1210334</x:v>
      </x:c>
      <x:c r="I27" s="36" t="str">
        <x:v>2025-12-11T14:07:41.000</x:v>
      </x:c>
      <x:c r="J27" s="31" t="str">
        <x:f>UNICHAR(26159)</x:f>
        <x:v>是</x:v>
      </x:c>
      <x:c r="K27" s="31" t="n">
        <x:v>0</x:v>
      </x:c>
      <x:c r="L27" s="31" t="str">
        <x:f>"2"&amp;UNICHAR(36339)&amp;UNICHAR(20851)&amp;UNICHAR(31995)&amp;UNICHAR(65307)&amp;UNICHAR(36335)&amp;UNICHAR(24452)&amp;UNICHAR(32047)&amp;UNICHAR(35745)&amp;"49"&amp;UNICHAR(31508)&amp;UNICHAR(65307)&amp;UNICHAR(32047)&amp;UNICHAR(35745)&amp;UNICHAR(32477)&amp;UNICHAR(23545)&amp;UNICHAR(37329)&amp;UNICHAR(39069)&amp;"1,210,334.00"&amp;UNICHAR(20803)&amp;UNICHAR(65307)&amp;UNICHAR(26368)&amp;UNICHAR(36817)&amp;UNICHAR(20132)&amp;UNICHAR(26131)&amp;"2025-12-11 14:07:41"&amp;UNICHAR(65307)&amp;UNICHAR(21516)&amp;UNICHAR(31038)&amp;UNICHAR(21306)&amp;"="&amp;UNICHAR(26159)&amp;UNICHAR(65307)&amp;UNICHAR(21452)&amp;UNICHAR(21521)&amp;UNICHAR(20851)&amp;UNICHAR(31995)&amp;"0"&amp;UNICHAR(26465)</x:f>
        <x:v>2跳关系；路径累计49笔；累计绝对金额1,210,334.00元；最近交易2025-12-11 14:07:41；同社区=是；双向关系0条</x:v>
      </x:c>
      <x:c r="M27" s="34" t="str"/>
      <x:c r="N27" s="34" t="str"/>
      <x:c r="O27" s="34" t="str"/>
      <x:c r="P27" s="34" t="str"/>
      <x:c r="Q27" s="34" t="str"/>
      <x:c r="R27" s="34" t="str"/>
      <x:c r="S27" s="37" t="str"/>
    </x:row>
    <x:row r="28" ht="38" customHeight="1">
      <x:c r="A28" s="31" t="str">
        <x:v>LINK-012</x:v>
      </x:c>
      <x:c r="B28" s="31" t="str">
        <x:v>A</x:v>
      </x:c>
      <x:c r="C28" s="31" t="str">
        <x:v>A00078</x:v>
      </x:c>
      <x:c r="D28" s="31" t="str">
        <x:v>A00035</x:v>
      </x:c>
      <x:c r="E28" s="31" t="n">
        <x:v>2</x:v>
      </x:c>
      <x:c r="F28" s="31" t="str">
        <x:f>"A00078 "&amp;UNICHAR(8594)&amp;" A00012 "&amp;UNICHAR(8594)&amp;" A00035"</x:f>
        <x:v>A00078 → A00012 → A00035</x:v>
      </x:c>
      <x:c r="G28" s="31" t="n">
        <x:v>81</x:v>
      </x:c>
      <x:c r="H28" s="35" t="n">
        <x:v>7493981.03</x:v>
      </x:c>
      <x:c r="I28" s="36" t="str">
        <x:v>2025-12-15T15:41:00.000</x:v>
      </x:c>
      <x:c r="J28" s="31" t="str">
        <x:f>UNICHAR(26159)</x:f>
        <x:v>是</x:v>
      </x:c>
      <x:c r="K28" s="31" t="n">
        <x:v>0</x:v>
      </x:c>
      <x:c r="L28" s="31" t="str">
        <x:f>"2"&amp;UNICHAR(36339)&amp;UNICHAR(20851)&amp;UNICHAR(31995)&amp;UNICHAR(65307)&amp;UNICHAR(36335)&amp;UNICHAR(24452)&amp;UNICHAR(32047)&amp;UNICHAR(35745)&amp;"81"&amp;UNICHAR(31508)&amp;UNICHAR(65307)&amp;UNICHAR(32047)&amp;UNICHAR(35745)&amp;UNICHAR(32477)&amp;UNICHAR(23545)&amp;UNICHAR(37329)&amp;UNICHAR(39069)&amp;"7,493,981.03"&amp;UNICHAR(20803)&amp;UNICHAR(65307)&amp;UNICHAR(26368)&amp;UNICHAR(36817)&amp;UNICHAR(20132)&amp;UNICHAR(26131)&amp;"2025-12-15 15:41:00"&amp;UNICHAR(65307)&amp;UNICHAR(21516)&amp;UNICHAR(31038)&amp;UNICHAR(21306)&amp;"="&amp;UNICHAR(26159)&amp;UNICHAR(65307)&amp;UNICHAR(21452)&amp;UNICHAR(21521)&amp;UNICHAR(20851)&amp;UNICHAR(31995)&amp;"0"&amp;UNICHAR(26465)</x:f>
        <x:v>2跳关系；路径累计81笔；累计绝对金额7,493,981.03元；最近交易2025-12-15 15:41:00；同社区=是；双向关系0条</x:v>
      </x:c>
      <x:c r="M28" s="34" t="str"/>
      <x:c r="N28" s="34" t="str"/>
      <x:c r="O28" s="34" t="str"/>
      <x:c r="P28" s="34" t="str"/>
      <x:c r="Q28" s="34" t="str"/>
      <x:c r="R28" s="34" t="str"/>
      <x:c r="S28" s="37" t="str"/>
    </x:row>
    <x:row r="29" ht="38" customHeight="1">
      <x:c r="A29" s="31" t="str">
        <x:v>LINK-012</x:v>
      </x:c>
      <x:c r="B29" s="31" t="str">
        <x:v>B</x:v>
      </x:c>
      <x:c r="C29" s="31" t="str">
        <x:v>A00078</x:v>
      </x:c>
      <x:c r="D29" s="31" t="str">
        <x:v>A00035</x:v>
      </x:c>
      <x:c r="E29" s="31" t="n">
        <x:v>2</x:v>
      </x:c>
      <x:c r="F29" s="31" t="str">
        <x:f>"A00078 "&amp;UNICHAR(8594)&amp;" A00012 "&amp;UNICHAR(8594)&amp;" A00035"</x:f>
        <x:v>A00078 → A00012 → A00035</x:v>
      </x:c>
      <x:c r="G29" s="31" t="n">
        <x:v>81</x:v>
      </x:c>
      <x:c r="H29" s="35" t="n">
        <x:v>7493981.03</x:v>
      </x:c>
      <x:c r="I29" s="36" t="str">
        <x:v>2025-12-15T15:41:00.000</x:v>
      </x:c>
      <x:c r="J29" s="31" t="str">
        <x:f>UNICHAR(26159)</x:f>
        <x:v>是</x:v>
      </x:c>
      <x:c r="K29" s="31" t="n">
        <x:v>0</x:v>
      </x:c>
      <x:c r="L29" s="31" t="str">
        <x:f>"2"&amp;UNICHAR(36339)&amp;UNICHAR(20851)&amp;UNICHAR(31995)&amp;UNICHAR(65307)&amp;UNICHAR(36335)&amp;UNICHAR(24452)&amp;UNICHAR(32047)&amp;UNICHAR(35745)&amp;"81"&amp;UNICHAR(31508)&amp;UNICHAR(65307)&amp;UNICHAR(32047)&amp;UNICHAR(35745)&amp;UNICHAR(32477)&amp;UNICHAR(23545)&amp;UNICHAR(37329)&amp;UNICHAR(39069)&amp;"7,493,981.03"&amp;UNICHAR(20803)&amp;UNICHAR(65307)&amp;UNICHAR(26368)&amp;UNICHAR(36817)&amp;UNICHAR(20132)&amp;UNICHAR(26131)&amp;"2025-12-15 15:41:00"&amp;UNICHAR(65307)&amp;UNICHAR(21516)&amp;UNICHAR(31038)&amp;UNICHAR(21306)&amp;"="&amp;UNICHAR(26159)&amp;UNICHAR(65307)&amp;UNICHAR(21452)&amp;UNICHAR(21521)&amp;UNICHAR(20851)&amp;UNICHAR(31995)&amp;"0"&amp;UNICHAR(26465)</x:f>
        <x:v>2跳关系；路径累计81笔；累计绝对金额7,493,981.03元；最近交易2025-12-15 15:41:00；同社区=是；双向关系0条</x:v>
      </x:c>
      <x:c r="M29" s="34" t="str"/>
      <x:c r="N29" s="34" t="str"/>
      <x:c r="O29" s="34" t="str"/>
      <x:c r="P29" s="34" t="str"/>
      <x:c r="Q29" s="34" t="str"/>
      <x:c r="R29" s="34" t="str"/>
      <x:c r="S29" s="37" t="str"/>
    </x:row>
    <x:row r="30" ht="38" customHeight="1">
      <x:c r="A30" s="31" t="str">
        <x:v>LINK-013</x:v>
      </x:c>
      <x:c r="B30" s="31" t="str">
        <x:v>A</x:v>
      </x:c>
      <x:c r="C30" s="31" t="str">
        <x:v>A00022</x:v>
      </x:c>
      <x:c r="D30" s="31" t="str">
        <x:v>A00048</x:v>
      </x:c>
      <x:c r="E30" s="31" t="n">
        <x:v>3</x:v>
      </x:c>
      <x:c r="F30" s="31" t="str">
        <x:f>"A00022 "&amp;UNICHAR(8594)&amp;" A00091 "&amp;UNICHAR(8594)&amp;" A00021 "&amp;UNICHAR(8594)&amp;" A00048"</x:f>
        <x:v>A00022 → A00091 → A00021 → A00048</x:v>
      </x:c>
      <x:c r="G30" s="31" t="n">
        <x:v>93</x:v>
      </x:c>
      <x:c r="H30" s="35" t="n">
        <x:v>330222620.1</x:v>
      </x:c>
      <x:c r="I30" s="36" t="str">
        <x:v>2025-12-25T13:54:23.000</x:v>
      </x:c>
      <x:c r="J30" s="31" t="str">
        <x:f>UNICHAR(26159)</x:f>
        <x:v>是</x:v>
      </x:c>
      <x:c r="K30" s="31" t="n">
        <x:v>0</x:v>
      </x:c>
      <x:c r="L30" s="31" t="str">
        <x:f>"3"&amp;UNICHAR(36339)&amp;UNICHAR(20851)&amp;UNICHAR(31995)&amp;UNICHAR(65307)&amp;UNICHAR(36335)&amp;UNICHAR(24452)&amp;UNICHAR(32047)&amp;UNICHAR(35745)&amp;"93"&amp;UNICHAR(31508)&amp;UNICHAR(65307)&amp;UNICHAR(32047)&amp;UNICHAR(35745)&amp;UNICHAR(32477)&amp;UNICHAR(23545)&amp;UNICHAR(37329)&amp;UNICHAR(39069)&amp;"330,222,620.10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3跳关系；路径累计93笔；累计绝对金额330,222,620.10元；最近交易2025-12-25 13:54:23；同社区=是；双向关系0条</x:v>
      </x:c>
      <x:c r="M30" s="34" t="str"/>
      <x:c r="N30" s="34" t="str"/>
      <x:c r="O30" s="34" t="str"/>
      <x:c r="P30" s="34" t="str"/>
      <x:c r="Q30" s="34" t="str"/>
      <x:c r="R30" s="34" t="str"/>
      <x:c r="S30" s="37" t="str"/>
    </x:row>
    <x:row r="31" ht="38" customHeight="1">
      <x:c r="A31" s="31" t="str">
        <x:v>LINK-013</x:v>
      </x:c>
      <x:c r="B31" s="31" t="str">
        <x:v>B</x:v>
      </x:c>
      <x:c r="C31" s="31" t="str">
        <x:v>A00022</x:v>
      </x:c>
      <x:c r="D31" s="31" t="str">
        <x:v>A00048</x:v>
      </x:c>
      <x:c r="E31" s="31" t="n">
        <x:v>3</x:v>
      </x:c>
      <x:c r="F31" s="31" t="str">
        <x:f>"A00022 "&amp;UNICHAR(8594)&amp;" A00091 "&amp;UNICHAR(8594)&amp;" A00021 "&amp;UNICHAR(8594)&amp;" A00048"</x:f>
        <x:v>A00022 → A00091 → A00021 → A00048</x:v>
      </x:c>
      <x:c r="G31" s="31" t="n">
        <x:v>93</x:v>
      </x:c>
      <x:c r="H31" s="35" t="n">
        <x:v>330222620.1</x:v>
      </x:c>
      <x:c r="I31" s="36" t="str">
        <x:v>2025-12-25T13:54:23.000</x:v>
      </x:c>
      <x:c r="J31" s="31" t="str">
        <x:f>UNICHAR(26159)</x:f>
        <x:v>是</x:v>
      </x:c>
      <x:c r="K31" s="31" t="n">
        <x:v>0</x:v>
      </x:c>
      <x:c r="L31" s="31" t="str">
        <x:f>"3"&amp;UNICHAR(36339)&amp;UNICHAR(20851)&amp;UNICHAR(31995)&amp;UNICHAR(65307)&amp;UNICHAR(36335)&amp;UNICHAR(24452)&amp;UNICHAR(32047)&amp;UNICHAR(35745)&amp;"93"&amp;UNICHAR(31508)&amp;UNICHAR(65307)&amp;UNICHAR(32047)&amp;UNICHAR(35745)&amp;UNICHAR(32477)&amp;UNICHAR(23545)&amp;UNICHAR(37329)&amp;UNICHAR(39069)&amp;"330,222,620.10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3跳关系；路径累计93笔；累计绝对金额330,222,620.10元；最近交易2025-12-25 13:54:23；同社区=是；双向关系0条</x:v>
      </x:c>
      <x:c r="M31" s="34" t="str"/>
      <x:c r="N31" s="34" t="str"/>
      <x:c r="O31" s="34" t="str"/>
      <x:c r="P31" s="34" t="str"/>
      <x:c r="Q31" s="34" t="str"/>
      <x:c r="R31" s="34" t="str"/>
      <x:c r="S31" s="37" t="str"/>
    </x:row>
    <x:row r="32" ht="38" customHeight="1">
      <x:c r="A32" s="31" t="str">
        <x:v>LINK-014</x:v>
      </x:c>
      <x:c r="B32" s="31" t="str">
        <x:v>A</x:v>
      </x:c>
      <x:c r="C32" s="31" t="str">
        <x:v>A00045</x:v>
      </x:c>
      <x:c r="D32" s="31" t="str">
        <x:v>A00077</x:v>
      </x:c>
      <x:c r="E32" s="31" t="n">
        <x:v>2</x:v>
      </x:c>
      <x:c r="F32" s="31" t="str">
        <x:f>"A00045 "&amp;UNICHAR(8594)&amp;" A00074 "&amp;UNICHAR(8594)&amp;" A00077"</x:f>
        <x:v>A00045 → A00074 → A00077</x:v>
      </x:c>
      <x:c r="G32" s="31" t="n">
        <x:v>63</x:v>
      </x:c>
      <x:c r="H32" s="35" t="n">
        <x:v>63908480</x:v>
      </x:c>
      <x:c r="I32" s="36" t="str">
        <x:v>2025-12-30T15:29:42.000</x:v>
      </x:c>
      <x:c r="J32" s="31" t="str">
        <x:f>UNICHAR(26159)</x:f>
        <x:v>是</x:v>
      </x:c>
      <x:c r="K32" s="31" t="n">
        <x:v>2</x:v>
      </x:c>
      <x:c r="L32" s="31" t="str">
        <x:f>"2"&amp;UNICHAR(36339)&amp;UNICHAR(20851)&amp;UNICHAR(31995)&amp;UNICHAR(65307)&amp;UNICHAR(36335)&amp;UNICHAR(24452)&amp;UNICHAR(32047)&amp;UNICHAR(35745)&amp;"63"&amp;UNICHAR(31508)&amp;UNICHAR(65307)&amp;UNICHAR(32047)&amp;UNICHAR(35745)&amp;UNICHAR(32477)&amp;UNICHAR(23545)&amp;UNICHAR(37329)&amp;UNICHAR(39069)&amp;"63,908,480.00"&amp;UNICHAR(20803)&amp;UNICHAR(65307)&amp;UNICHAR(26368)&amp;UNICHAR(36817)&amp;UNICHAR(20132)&amp;UNICHAR(26131)&amp;"2025-12-30 15:29:42"&amp;UNICHAR(65307)&amp;UNICHAR(21516)&amp;UNICHAR(31038)&amp;UNICHAR(21306)&amp;"="&amp;UNICHAR(26159)&amp;UNICHAR(65307)&amp;UNICHAR(21452)&amp;UNICHAR(21521)&amp;UNICHAR(20851)&amp;UNICHAR(31995)&amp;"2"&amp;UNICHAR(26465)</x:f>
        <x:v>2跳关系；路径累计63笔；累计绝对金额63,908,480.00元；最近交易2025-12-30 15:29:42；同社区=是；双向关系2条</x:v>
      </x:c>
      <x:c r="M32" s="34" t="str"/>
      <x:c r="N32" s="34" t="str"/>
      <x:c r="O32" s="34" t="str"/>
      <x:c r="P32" s="34" t="str"/>
      <x:c r="Q32" s="34" t="str"/>
      <x:c r="R32" s="34" t="str"/>
      <x:c r="S32" s="37" t="str"/>
    </x:row>
    <x:row r="33" ht="38" customHeight="1">
      <x:c r="A33" s="31" t="str">
        <x:v>LINK-014</x:v>
      </x:c>
      <x:c r="B33" s="31" t="str">
        <x:v>B</x:v>
      </x:c>
      <x:c r="C33" s="31" t="str">
        <x:v>A00045</x:v>
      </x:c>
      <x:c r="D33" s="31" t="str">
        <x:v>A00077</x:v>
      </x:c>
      <x:c r="E33" s="31" t="n">
        <x:v>2</x:v>
      </x:c>
      <x:c r="F33" s="31" t="str">
        <x:f>"A00045 "&amp;UNICHAR(8594)&amp;" A00074 "&amp;UNICHAR(8594)&amp;" A00077"</x:f>
        <x:v>A00045 → A00074 → A00077</x:v>
      </x:c>
      <x:c r="G33" s="31" t="n">
        <x:v>63</x:v>
      </x:c>
      <x:c r="H33" s="35" t="n">
        <x:v>63908480</x:v>
      </x:c>
      <x:c r="I33" s="36" t="str">
        <x:v>2025-12-30T15:29:42.000</x:v>
      </x:c>
      <x:c r="J33" s="31" t="str">
        <x:f>UNICHAR(26159)</x:f>
        <x:v>是</x:v>
      </x:c>
      <x:c r="K33" s="31" t="n">
        <x:v>2</x:v>
      </x:c>
      <x:c r="L33" s="31" t="str">
        <x:f>"2"&amp;UNICHAR(36339)&amp;UNICHAR(20851)&amp;UNICHAR(31995)&amp;UNICHAR(65307)&amp;UNICHAR(36335)&amp;UNICHAR(24452)&amp;UNICHAR(32047)&amp;UNICHAR(35745)&amp;"63"&amp;UNICHAR(31508)&amp;UNICHAR(65307)&amp;UNICHAR(32047)&amp;UNICHAR(35745)&amp;UNICHAR(32477)&amp;UNICHAR(23545)&amp;UNICHAR(37329)&amp;UNICHAR(39069)&amp;"63,908,480.00"&amp;UNICHAR(20803)&amp;UNICHAR(65307)&amp;UNICHAR(26368)&amp;UNICHAR(36817)&amp;UNICHAR(20132)&amp;UNICHAR(26131)&amp;"2025-12-30 15:29:42"&amp;UNICHAR(65307)&amp;UNICHAR(21516)&amp;UNICHAR(31038)&amp;UNICHAR(21306)&amp;"="&amp;UNICHAR(26159)&amp;UNICHAR(65307)&amp;UNICHAR(21452)&amp;UNICHAR(21521)&amp;UNICHAR(20851)&amp;UNICHAR(31995)&amp;"2"&amp;UNICHAR(26465)</x:f>
        <x:v>2跳关系；路径累计63笔；累计绝对金额63,908,480.00元；最近交易2025-12-30 15:29:42；同社区=是；双向关系2条</x:v>
      </x:c>
      <x:c r="M33" s="34" t="str"/>
      <x:c r="N33" s="34" t="str"/>
      <x:c r="O33" s="34" t="str"/>
      <x:c r="P33" s="34" t="str"/>
      <x:c r="Q33" s="34" t="str"/>
      <x:c r="R33" s="34" t="str"/>
      <x:c r="S33" s="37" t="str"/>
    </x:row>
    <x:row r="34" ht="38" customHeight="1">
      <x:c r="A34" s="31" t="str">
        <x:v>LINK-015</x:v>
      </x:c>
      <x:c r="B34" s="31" t="str">
        <x:v>A</x:v>
      </x:c>
      <x:c r="C34" s="31" t="str">
        <x:v>A00078</x:v>
      </x:c>
      <x:c r="D34" s="31" t="str">
        <x:v>A00044</x:v>
      </x:c>
      <x:c r="E34" s="31" t="n">
        <x:v>2</x:v>
      </x:c>
      <x:c r="F34" s="31" t="str">
        <x:f>"A00078 "&amp;UNICHAR(8594)&amp;" A00012 "&amp;UNICHAR(8594)&amp;" A00044"</x:f>
        <x:v>A00078 → A00012 → A00044</x:v>
      </x:c>
      <x:c r="G34" s="31" t="n">
        <x:v>16</x:v>
      </x:c>
      <x:c r="H34" s="35" t="n">
        <x:v>1046992.13</x:v>
      </x:c>
      <x:c r="I34" s="36" t="str">
        <x:v>2025-12-29T14:24:49.000</x:v>
      </x:c>
      <x:c r="J34" s="31" t="str">
        <x:f>UNICHAR(26159)</x:f>
        <x:v>是</x:v>
      </x:c>
      <x:c r="K34" s="31" t="n">
        <x:v>1</x:v>
      </x:c>
      <x:c r="L34" s="31" t="str">
        <x:f>"2"&amp;UNICHAR(36339)&amp;UNICHAR(20851)&amp;UNICHAR(31995)&amp;UNICHAR(65307)&amp;UNICHAR(36335)&amp;UNICHAR(24452)&amp;UNICHAR(32047)&amp;UNICHAR(35745)&amp;"16"&amp;UNICHAR(31508)&amp;UNICHAR(65307)&amp;UNICHAR(32047)&amp;UNICHAR(35745)&amp;UNICHAR(32477)&amp;UNICHAR(23545)&amp;UNICHAR(37329)&amp;UNICHAR(39069)&amp;"1,046,992.13"&amp;UNICHAR(20803)&amp;UNICHAR(65307)&amp;UNICHAR(26368)&amp;UNICHAR(36817)&amp;UNICHAR(20132)&amp;UNICHAR(26131)&amp;"2025-12-29 14:24:49"&amp;UNICHAR(65307)&amp;UNICHAR(21516)&amp;UNICHAR(31038)&amp;UNICHAR(21306)&amp;"="&amp;UNICHAR(26159)&amp;UNICHAR(65307)&amp;UNICHAR(21452)&amp;UNICHAR(21521)&amp;UNICHAR(20851)&amp;UNICHAR(31995)&amp;"1"&amp;UNICHAR(26465)</x:f>
        <x:v>2跳关系；路径累计16笔；累计绝对金额1,046,992.13元；最近交易2025-12-29 14:24:49；同社区=是；双向关系1条</x:v>
      </x:c>
      <x:c r="M34" s="34" t="str"/>
      <x:c r="N34" s="34" t="str"/>
      <x:c r="O34" s="34" t="str"/>
      <x:c r="P34" s="34" t="str"/>
      <x:c r="Q34" s="34" t="str"/>
      <x:c r="R34" s="34" t="str"/>
      <x:c r="S34" s="37" t="str"/>
    </x:row>
    <x:row r="35" ht="38" customHeight="1">
      <x:c r="A35" s="31" t="str">
        <x:v>LINK-015</x:v>
      </x:c>
      <x:c r="B35" s="31" t="str">
        <x:v>B</x:v>
      </x:c>
      <x:c r="C35" s="31" t="str">
        <x:v>A00078</x:v>
      </x:c>
      <x:c r="D35" s="31" t="str">
        <x:v>A00044</x:v>
      </x:c>
      <x:c r="E35" s="31" t="n">
        <x:v>2</x:v>
      </x:c>
      <x:c r="F35" s="31" t="str">
        <x:f>"A00078 "&amp;UNICHAR(8594)&amp;" A00012 "&amp;UNICHAR(8594)&amp;" A00044"</x:f>
        <x:v>A00078 → A00012 → A00044</x:v>
      </x:c>
      <x:c r="G35" s="31" t="n">
        <x:v>16</x:v>
      </x:c>
      <x:c r="H35" s="35" t="n">
        <x:v>1046992.13</x:v>
      </x:c>
      <x:c r="I35" s="36" t="str">
        <x:v>2025-12-29T14:24:49.000</x:v>
      </x:c>
      <x:c r="J35" s="31" t="str">
        <x:f>UNICHAR(26159)</x:f>
        <x:v>是</x:v>
      </x:c>
      <x:c r="K35" s="31" t="n">
        <x:v>1</x:v>
      </x:c>
      <x:c r="L35" s="31" t="str">
        <x:f>"2"&amp;UNICHAR(36339)&amp;UNICHAR(20851)&amp;UNICHAR(31995)&amp;UNICHAR(65307)&amp;UNICHAR(36335)&amp;UNICHAR(24452)&amp;UNICHAR(32047)&amp;UNICHAR(35745)&amp;"16"&amp;UNICHAR(31508)&amp;UNICHAR(65307)&amp;UNICHAR(32047)&amp;UNICHAR(35745)&amp;UNICHAR(32477)&amp;UNICHAR(23545)&amp;UNICHAR(37329)&amp;UNICHAR(39069)&amp;"1,046,992.13"&amp;UNICHAR(20803)&amp;UNICHAR(65307)&amp;UNICHAR(26368)&amp;UNICHAR(36817)&amp;UNICHAR(20132)&amp;UNICHAR(26131)&amp;"2025-12-29 14:24:49"&amp;UNICHAR(65307)&amp;UNICHAR(21516)&amp;UNICHAR(31038)&amp;UNICHAR(21306)&amp;"="&amp;UNICHAR(26159)&amp;UNICHAR(65307)&amp;UNICHAR(21452)&amp;UNICHAR(21521)&amp;UNICHAR(20851)&amp;UNICHAR(31995)&amp;"1"&amp;UNICHAR(26465)</x:f>
        <x:v>2跳关系；路径累计16笔；累计绝对金额1,046,992.13元；最近交易2025-12-29 14:24:49；同社区=是；双向关系1条</x:v>
      </x:c>
      <x:c r="M35" s="34" t="str"/>
      <x:c r="N35" s="34" t="str"/>
      <x:c r="O35" s="34" t="str"/>
      <x:c r="P35" s="34" t="str"/>
      <x:c r="Q35" s="34" t="str"/>
      <x:c r="R35" s="34" t="str"/>
      <x:c r="S35" s="37" t="str"/>
    </x:row>
    <x:row r="36" ht="38" customHeight="1">
      <x:c r="A36" s="31" t="str">
        <x:v>LINK-016</x:v>
      </x:c>
      <x:c r="B36" s="31" t="str">
        <x:v>A</x:v>
      </x:c>
      <x:c r="C36" s="31" t="str">
        <x:v>A00078</x:v>
      </x:c>
      <x:c r="D36" s="31" t="str">
        <x:v>A00068</x:v>
      </x:c>
      <x:c r="E36" s="31" t="n">
        <x:v>2</x:v>
      </x:c>
      <x:c r="F36" s="31" t="str">
        <x:f>"A00078 "&amp;UNICHAR(8594)&amp;" A00012 "&amp;UNICHAR(8594)&amp;" A00068"</x:f>
        <x:v>A00078 → A00012 → A00068</x:v>
      </x:c>
      <x:c r="G36" s="31" t="n">
        <x:v>105</x:v>
      </x:c>
      <x:c r="H36" s="35" t="n">
        <x:v>7726095.970000001</x:v>
      </x:c>
      <x:c r="I36" s="36" t="str">
        <x:v>2025-12-15T15:22:23.000</x:v>
      </x:c>
      <x:c r="J36" s="31" t="str">
        <x:f>UNICHAR(26159)</x:f>
        <x:v>是</x:v>
      </x:c>
      <x:c r="K36" s="31" t="n">
        <x:v>0</x:v>
      </x:c>
      <x:c r="L36" s="31" t="str">
        <x:f>"2"&amp;UNICHAR(36339)&amp;UNICHAR(20851)&amp;UNICHAR(31995)&amp;UNICHAR(65307)&amp;UNICHAR(36335)&amp;UNICHAR(24452)&amp;UNICHAR(32047)&amp;UNICHAR(35745)&amp;"105"&amp;UNICHAR(31508)&amp;UNICHAR(65307)&amp;UNICHAR(32047)&amp;UNICHAR(35745)&amp;UNICHAR(32477)&amp;UNICHAR(23545)&amp;UNICHAR(37329)&amp;UNICHAR(39069)&amp;"7,726,095.97"&amp;UNICHAR(20803)&amp;UNICHAR(65307)&amp;UNICHAR(26368)&amp;UNICHAR(36817)&amp;UNICHAR(20132)&amp;UNICHAR(26131)&amp;"2025-12-15 15:22:23"&amp;UNICHAR(65307)&amp;UNICHAR(21516)&amp;UNICHAR(31038)&amp;UNICHAR(21306)&amp;"="&amp;UNICHAR(26159)&amp;UNICHAR(65307)&amp;UNICHAR(21452)&amp;UNICHAR(21521)&amp;UNICHAR(20851)&amp;UNICHAR(31995)&amp;"0"&amp;UNICHAR(26465)</x:f>
        <x:v>2跳关系；路径累计105笔；累计绝对金额7,726,095.97元；最近交易2025-12-15 15:22:23；同社区=是；双向关系0条</x:v>
      </x:c>
      <x:c r="M36" s="34" t="str"/>
      <x:c r="N36" s="34" t="str"/>
      <x:c r="O36" s="34" t="str"/>
      <x:c r="P36" s="34" t="str"/>
      <x:c r="Q36" s="34" t="str"/>
      <x:c r="R36" s="34" t="str"/>
      <x:c r="S36" s="37" t="str"/>
    </x:row>
    <x:row r="37" ht="38" customHeight="1">
      <x:c r="A37" s="31" t="str">
        <x:v>LINK-016</x:v>
      </x:c>
      <x:c r="B37" s="31" t="str">
        <x:v>B</x:v>
      </x:c>
      <x:c r="C37" s="31" t="str">
        <x:v>A00078</x:v>
      </x:c>
      <x:c r="D37" s="31" t="str">
        <x:v>A00068</x:v>
      </x:c>
      <x:c r="E37" s="31" t="n">
        <x:v>2</x:v>
      </x:c>
      <x:c r="F37" s="31" t="str">
        <x:f>"A00078 "&amp;UNICHAR(8594)&amp;" A00012 "&amp;UNICHAR(8594)&amp;" A00068"</x:f>
        <x:v>A00078 → A00012 → A00068</x:v>
      </x:c>
      <x:c r="G37" s="31" t="n">
        <x:v>105</x:v>
      </x:c>
      <x:c r="H37" s="35" t="n">
        <x:v>7726095.970000001</x:v>
      </x:c>
      <x:c r="I37" s="36" t="str">
        <x:v>2025-12-15T15:22:23.000</x:v>
      </x:c>
      <x:c r="J37" s="31" t="str">
        <x:f>UNICHAR(26159)</x:f>
        <x:v>是</x:v>
      </x:c>
      <x:c r="K37" s="31" t="n">
        <x:v>0</x:v>
      </x:c>
      <x:c r="L37" s="31" t="str">
        <x:f>"2"&amp;UNICHAR(36339)&amp;UNICHAR(20851)&amp;UNICHAR(31995)&amp;UNICHAR(65307)&amp;UNICHAR(36335)&amp;UNICHAR(24452)&amp;UNICHAR(32047)&amp;UNICHAR(35745)&amp;"105"&amp;UNICHAR(31508)&amp;UNICHAR(65307)&amp;UNICHAR(32047)&amp;UNICHAR(35745)&amp;UNICHAR(32477)&amp;UNICHAR(23545)&amp;UNICHAR(37329)&amp;UNICHAR(39069)&amp;"7,726,095.97"&amp;UNICHAR(20803)&amp;UNICHAR(65307)&amp;UNICHAR(26368)&amp;UNICHAR(36817)&amp;UNICHAR(20132)&amp;UNICHAR(26131)&amp;"2025-12-15 15:22:23"&amp;UNICHAR(65307)&amp;UNICHAR(21516)&amp;UNICHAR(31038)&amp;UNICHAR(21306)&amp;"="&amp;UNICHAR(26159)&amp;UNICHAR(65307)&amp;UNICHAR(21452)&amp;UNICHAR(21521)&amp;UNICHAR(20851)&amp;UNICHAR(31995)&amp;"0"&amp;UNICHAR(26465)</x:f>
        <x:v>2跳关系；路径累计105笔；累计绝对金额7,726,095.97元；最近交易2025-12-15 15:22:23；同社区=是；双向关系0条</x:v>
      </x:c>
      <x:c r="M37" s="34" t="str"/>
      <x:c r="N37" s="34" t="str"/>
      <x:c r="O37" s="34" t="str"/>
      <x:c r="P37" s="34" t="str"/>
      <x:c r="Q37" s="34" t="str"/>
      <x:c r="R37" s="34" t="str"/>
      <x:c r="S37" s="37" t="str"/>
    </x:row>
    <x:row r="38" ht="38" customHeight="1">
      <x:c r="A38" s="31" t="str">
        <x:v>LINK-017</x:v>
      </x:c>
      <x:c r="B38" s="31" t="str">
        <x:v>A</x:v>
      </x:c>
      <x:c r="C38" s="31" t="str">
        <x:v>A00004</x:v>
      </x:c>
      <x:c r="D38" s="31" t="str">
        <x:v>A00060</x:v>
      </x:c>
      <x:c r="E38" s="31" t="n">
        <x:v>3</x:v>
      </x:c>
      <x:c r="F38" s="31" t="str">
        <x:f>"A00004 "&amp;UNICHAR(8594)&amp;" A00079 "&amp;UNICHAR(8594)&amp;" A00032 "&amp;UNICHAR(8594)&amp;" A00060"</x:f>
        <x:v>A00004 → A00079 → A00032 → A00060</x:v>
      </x:c>
      <x:c r="G38" s="31" t="n">
        <x:v>412</x:v>
      </x:c>
      <x:c r="H38" s="35" t="n">
        <x:v>40070733.39</x:v>
      </x:c>
      <x:c r="I38" s="36" t="str">
        <x:v>2025-12-29T14:10:33.000</x:v>
      </x:c>
      <x:c r="J38" s="31" t="str">
        <x:f>UNICHAR(26159)</x:f>
        <x:v>是</x:v>
      </x:c>
      <x:c r="K38" s="31" t="n">
        <x:v>0</x:v>
      </x:c>
      <x:c r="L38" s="31" t="str">
        <x:f>"3"&amp;UNICHAR(36339)&amp;UNICHAR(20851)&amp;UNICHAR(31995)&amp;UNICHAR(65307)&amp;UNICHAR(36335)&amp;UNICHAR(24452)&amp;UNICHAR(32047)&amp;UNICHAR(35745)&amp;"412"&amp;UNICHAR(31508)&amp;UNICHAR(65307)&amp;UNICHAR(32047)&amp;UNICHAR(35745)&amp;UNICHAR(32477)&amp;UNICHAR(23545)&amp;UNICHAR(37329)&amp;UNICHAR(39069)&amp;"40,070,733.39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3跳关系；路径累计412笔；累计绝对金额40,070,733.39元；最近交易2025-12-29 14:10:33；同社区=是；双向关系0条</x:v>
      </x:c>
      <x:c r="M38" s="34" t="str"/>
      <x:c r="N38" s="34" t="str"/>
      <x:c r="O38" s="34" t="str"/>
      <x:c r="P38" s="34" t="str"/>
      <x:c r="Q38" s="34" t="str"/>
      <x:c r="R38" s="34" t="str"/>
      <x:c r="S38" s="37" t="str"/>
    </x:row>
    <x:row r="39" ht="38" customHeight="1">
      <x:c r="A39" s="31" t="str">
        <x:v>LINK-017</x:v>
      </x:c>
      <x:c r="B39" s="31" t="str">
        <x:v>B</x:v>
      </x:c>
      <x:c r="C39" s="31" t="str">
        <x:v>A00004</x:v>
      </x:c>
      <x:c r="D39" s="31" t="str">
        <x:v>A00060</x:v>
      </x:c>
      <x:c r="E39" s="31" t="n">
        <x:v>3</x:v>
      </x:c>
      <x:c r="F39" s="31" t="str">
        <x:f>"A00004 "&amp;UNICHAR(8594)&amp;" A00079 "&amp;UNICHAR(8594)&amp;" A00032 "&amp;UNICHAR(8594)&amp;" A00060"</x:f>
        <x:v>A00004 → A00079 → A00032 → A00060</x:v>
      </x:c>
      <x:c r="G39" s="31" t="n">
        <x:v>412</x:v>
      </x:c>
      <x:c r="H39" s="35" t="n">
        <x:v>40070733.39</x:v>
      </x:c>
      <x:c r="I39" s="36" t="str">
        <x:v>2025-12-29T14:10:33.000</x:v>
      </x:c>
      <x:c r="J39" s="31" t="str">
        <x:f>UNICHAR(26159)</x:f>
        <x:v>是</x:v>
      </x:c>
      <x:c r="K39" s="31" t="n">
        <x:v>0</x:v>
      </x:c>
      <x:c r="L39" s="31" t="str">
        <x:f>"3"&amp;UNICHAR(36339)&amp;UNICHAR(20851)&amp;UNICHAR(31995)&amp;UNICHAR(65307)&amp;UNICHAR(36335)&amp;UNICHAR(24452)&amp;UNICHAR(32047)&amp;UNICHAR(35745)&amp;"412"&amp;UNICHAR(31508)&amp;UNICHAR(65307)&amp;UNICHAR(32047)&amp;UNICHAR(35745)&amp;UNICHAR(32477)&amp;UNICHAR(23545)&amp;UNICHAR(37329)&amp;UNICHAR(39069)&amp;"40,070,733.39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3跳关系；路径累计412笔；累计绝对金额40,070,733.39元；最近交易2025-12-29 14:10:33；同社区=是；双向关系0条</x:v>
      </x:c>
      <x:c r="M39" s="34" t="str"/>
      <x:c r="N39" s="34" t="str"/>
      <x:c r="O39" s="34" t="str"/>
      <x:c r="P39" s="34" t="str"/>
      <x:c r="Q39" s="34" t="str"/>
      <x:c r="R39" s="34" t="str"/>
      <x:c r="S39" s="37" t="str"/>
    </x:row>
    <x:row r="40" ht="38" customHeight="1">
      <x:c r="A40" s="31" t="str">
        <x:v>LINK-018</x:v>
      </x:c>
      <x:c r="B40" s="31" t="str">
        <x:v>A</x:v>
      </x:c>
      <x:c r="C40" s="31" t="str">
        <x:v>A00078</x:v>
      </x:c>
      <x:c r="D40" s="31" t="str">
        <x:v>A00089</x:v>
      </x:c>
      <x:c r="E40" s="31" t="n">
        <x:v>2</x:v>
      </x:c>
      <x:c r="F40" s="31" t="str">
        <x:f>"A00078 "&amp;UNICHAR(8594)&amp;" A00012 "&amp;UNICHAR(8594)&amp;" A00089"</x:f>
        <x:v>A00078 → A00012 → A00089</x:v>
      </x:c>
      <x:c r="G40" s="31" t="n">
        <x:v>54</x:v>
      </x:c>
      <x:c r="H40" s="35" t="n">
        <x:v>381376.24</x:v>
      </x:c>
      <x:c r="I40" s="36" t="str">
        <x:v>2025-12-23T14:42:02.000</x:v>
      </x:c>
      <x:c r="J40" s="31" t="str">
        <x:f>UNICHAR(26159)</x:f>
        <x:v>是</x:v>
      </x:c>
      <x:c r="K40" s="31" t="n">
        <x:v>0</x:v>
      </x:c>
      <x:c r="L40" s="31" t="str">
        <x:f>"2"&amp;UNICHAR(36339)&amp;UNICHAR(20851)&amp;UNICHAR(31995)&amp;UNICHAR(65307)&amp;UNICHAR(36335)&amp;UNICHAR(24452)&amp;UNICHAR(32047)&amp;UNICHAR(35745)&amp;"54"&amp;UNICHAR(31508)&amp;UNICHAR(65307)&amp;UNICHAR(32047)&amp;UNICHAR(35745)&amp;UNICHAR(32477)&amp;UNICHAR(23545)&amp;UNICHAR(37329)&amp;UNICHAR(39069)&amp;"381,376.24"&amp;UNICHAR(20803)&amp;UNICHAR(65307)&amp;UNICHAR(26368)&amp;UNICHAR(36817)&amp;UNICHAR(20132)&amp;UNICHAR(26131)&amp;"2025-12-23 14:42:02"&amp;UNICHAR(65307)&amp;UNICHAR(21516)&amp;UNICHAR(31038)&amp;UNICHAR(21306)&amp;"="&amp;UNICHAR(26159)&amp;UNICHAR(65307)&amp;UNICHAR(21452)&amp;UNICHAR(21521)&amp;UNICHAR(20851)&amp;UNICHAR(31995)&amp;"0"&amp;UNICHAR(26465)</x:f>
        <x:v>2跳关系；路径累计54笔；累计绝对金额381,376.24元；最近交易2025-12-23 14:42:02；同社区=是；双向关系0条</x:v>
      </x:c>
      <x:c r="M40" s="34" t="str"/>
      <x:c r="N40" s="34" t="str"/>
      <x:c r="O40" s="34" t="str"/>
      <x:c r="P40" s="34" t="str"/>
      <x:c r="Q40" s="34" t="str"/>
      <x:c r="R40" s="34" t="str"/>
      <x:c r="S40" s="37" t="str"/>
    </x:row>
    <x:row r="41" ht="38" customHeight="1">
      <x:c r="A41" s="31" t="str">
        <x:v>LINK-018</x:v>
      </x:c>
      <x:c r="B41" s="31" t="str">
        <x:v>B</x:v>
      </x:c>
      <x:c r="C41" s="31" t="str">
        <x:v>A00078</x:v>
      </x:c>
      <x:c r="D41" s="31" t="str">
        <x:v>A00089</x:v>
      </x:c>
      <x:c r="E41" s="31" t="n">
        <x:v>2</x:v>
      </x:c>
      <x:c r="F41" s="31" t="str">
        <x:f>"A00078 "&amp;UNICHAR(8594)&amp;" A00012 "&amp;UNICHAR(8594)&amp;" A00089"</x:f>
        <x:v>A00078 → A00012 → A00089</x:v>
      </x:c>
      <x:c r="G41" s="31" t="n">
        <x:v>54</x:v>
      </x:c>
      <x:c r="H41" s="35" t="n">
        <x:v>381376.24</x:v>
      </x:c>
      <x:c r="I41" s="36" t="str">
        <x:v>2025-12-23T14:42:02.000</x:v>
      </x:c>
      <x:c r="J41" s="31" t="str">
        <x:f>UNICHAR(26159)</x:f>
        <x:v>是</x:v>
      </x:c>
      <x:c r="K41" s="31" t="n">
        <x:v>0</x:v>
      </x:c>
      <x:c r="L41" s="31" t="str">
        <x:f>"2"&amp;UNICHAR(36339)&amp;UNICHAR(20851)&amp;UNICHAR(31995)&amp;UNICHAR(65307)&amp;UNICHAR(36335)&amp;UNICHAR(24452)&amp;UNICHAR(32047)&amp;UNICHAR(35745)&amp;"54"&amp;UNICHAR(31508)&amp;UNICHAR(65307)&amp;UNICHAR(32047)&amp;UNICHAR(35745)&amp;UNICHAR(32477)&amp;UNICHAR(23545)&amp;UNICHAR(37329)&amp;UNICHAR(39069)&amp;"381,376.24"&amp;UNICHAR(20803)&amp;UNICHAR(65307)&amp;UNICHAR(26368)&amp;UNICHAR(36817)&amp;UNICHAR(20132)&amp;UNICHAR(26131)&amp;"2025-12-23 14:42:02"&amp;UNICHAR(65307)&amp;UNICHAR(21516)&amp;UNICHAR(31038)&amp;UNICHAR(21306)&amp;"="&amp;UNICHAR(26159)&amp;UNICHAR(65307)&amp;UNICHAR(21452)&amp;UNICHAR(21521)&amp;UNICHAR(20851)&amp;UNICHAR(31995)&amp;"0"&amp;UNICHAR(26465)</x:f>
        <x:v>2跳关系；路径累计54笔；累计绝对金额381,376.24元；最近交易2025-12-23 14:42:02；同社区=是；双向关系0条</x:v>
      </x:c>
      <x:c r="M41" s="34" t="str"/>
      <x:c r="N41" s="34" t="str"/>
      <x:c r="O41" s="34" t="str"/>
      <x:c r="P41" s="34" t="str"/>
      <x:c r="Q41" s="34" t="str"/>
      <x:c r="R41" s="34" t="str"/>
      <x:c r="S41" s="37" t="str"/>
    </x:row>
    <x:row r="42" ht="38" customHeight="1">
      <x:c r="A42" s="31" t="str">
        <x:v>LINK-019</x:v>
      </x:c>
      <x:c r="B42" s="31" t="str">
        <x:v>A</x:v>
      </x:c>
      <x:c r="C42" s="31" t="str">
        <x:v>A00022</x:v>
      </x:c>
      <x:c r="D42" s="31" t="str">
        <x:v>A00080</x:v>
      </x:c>
      <x:c r="E42" s="31" t="n">
        <x:v>2</x:v>
      </x:c>
      <x:c r="F42" s="31" t="str">
        <x:f>"A00022 "&amp;UNICHAR(8594)&amp;" A00091 "&amp;UNICHAR(8594)&amp;" A00080"</x:f>
        <x:v>A00022 → A00091 → A00080</x:v>
      </x:c>
      <x:c r="G42" s="31" t="n">
        <x:v>9</x:v>
      </x:c>
      <x:c r="H42" s="35" t="n">
        <x:v>332240</x:v>
      </x:c>
      <x:c r="I42" s="36" t="str">
        <x:v>2025-12-22T08:24:10.000</x:v>
      </x:c>
      <x:c r="J42" s="31" t="str">
        <x:f>UNICHAR(26159)</x:f>
        <x:v>是</x:v>
      </x:c>
      <x:c r="K42" s="31" t="n">
        <x:v>0</x:v>
      </x:c>
      <x:c r="L42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332,240.00"&amp;UNICHAR(20803)&amp;UNICHAR(65307)&amp;UNICHAR(26368)&amp;UNICHAR(36817)&amp;UNICHAR(20132)&amp;UNICHAR(26131)&amp;"2025-12-22 08:24:10"&amp;UNICHAR(65307)&amp;UNICHAR(21516)&amp;UNICHAR(31038)&amp;UNICHAR(21306)&amp;"="&amp;UNICHAR(26159)&amp;UNICHAR(65307)&amp;UNICHAR(21452)&amp;UNICHAR(21521)&amp;UNICHAR(20851)&amp;UNICHAR(31995)&amp;"0"&amp;UNICHAR(26465)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2跳关系；路径累计9笔；累计绝对金额332,240.00元；最近交易2025-12-22 08:24:10；同社区=是；双向关系0条</x:v>
      </x:c>
      <x:c r="M42" s="34" t="str"/>
      <x:c r="N42" s="34" t="str"/>
      <x:c r="O42" s="34" t="str"/>
      <x:c r="P42" s="34" t="str"/>
      <x:c r="Q42" s="34" t="str"/>
      <x:c r="R42" s="34" t="str"/>
      <x:c r="S42" s="37" t="str"/>
    </x:row>
    <x:row r="43" ht="38" customHeight="1">
      <x:c r="A43" s="31" t="str">
        <x:v>LINK-019</x:v>
      </x:c>
      <x:c r="B43" s="31" t="str">
        <x:v>B</x:v>
      </x:c>
      <x:c r="C43" s="31" t="str">
        <x:v>A00022</x:v>
      </x:c>
      <x:c r="D43" s="31" t="str">
        <x:v>A00080</x:v>
      </x:c>
      <x:c r="E43" s="31" t="n">
        <x:v>2</x:v>
      </x:c>
      <x:c r="F43" s="31" t="str">
        <x:f>"A00022 "&amp;UNICHAR(8594)&amp;" A00091 "&amp;UNICHAR(8594)&amp;" A00080"</x:f>
        <x:v>A00022 → A00091 → A00080</x:v>
      </x:c>
      <x:c r="G43" s="31" t="n">
        <x:v>9</x:v>
      </x:c>
      <x:c r="H43" s="35" t="n">
        <x:v>332240</x:v>
      </x:c>
      <x:c r="I43" s="36" t="str">
        <x:v>2025-12-22T08:24:10.000</x:v>
      </x:c>
      <x:c r="J43" s="31" t="str">
        <x:f>UNICHAR(26159)</x:f>
        <x:v>是</x:v>
      </x:c>
      <x:c r="K43" s="31" t="n">
        <x:v>0</x:v>
      </x:c>
      <x:c r="L43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332,240.00"&amp;UNICHAR(20803)&amp;UNICHAR(65307)&amp;UNICHAR(26368)&amp;UNICHAR(36817)&amp;UNICHAR(20132)&amp;UNICHAR(26131)&amp;"2025-12-22 08:24:10"&amp;UNICHAR(65307)&amp;UNICHAR(21516)&amp;UNICHAR(31038)&amp;UNICHAR(21306)&amp;"="&amp;UNICHAR(26159)&amp;UNICHAR(65307)&amp;UNICHAR(21452)&amp;UNICHAR(21521)&amp;UNICHAR(20851)&amp;UNICHAR(31995)&amp;"0"&amp;UNICHAR(26465)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2跳关系；路径累计9笔；累计绝对金额332,240.00元；最近交易2025-12-22 08:24:10；同社区=是；双向关系0条</x:v>
      </x:c>
      <x:c r="M43" s="34" t="str"/>
      <x:c r="N43" s="34" t="str"/>
      <x:c r="O43" s="34" t="str"/>
      <x:c r="P43" s="34" t="str"/>
      <x:c r="Q43" s="34" t="str"/>
      <x:c r="R43" s="34" t="str"/>
      <x:c r="S43" s="37" t="str"/>
    </x:row>
    <x:row r="44" ht="38" customHeight="1">
      <x:c r="A44" s="31" t="str">
        <x:v>LINK-020</x:v>
      </x:c>
      <x:c r="B44" s="31" t="str">
        <x:v>A</x:v>
      </x:c>
      <x:c r="C44" s="31" t="str">
        <x:v>A00078</x:v>
      </x:c>
      <x:c r="D44" s="31" t="str">
        <x:v>A00064</x:v>
      </x:c>
      <x:c r="E44" s="31" t="n">
        <x:v>2</x:v>
      </x:c>
      <x:c r="F44" s="31" t="str">
        <x:f>"A00078 "&amp;UNICHAR(8594)&amp;" A00012 "&amp;UNICHAR(8594)&amp;" A00064"</x:f>
        <x:v>A00078 → A00012 → A00064</x:v>
      </x:c>
      <x:c r="G44" s="31" t="n">
        <x:v>25</x:v>
      </x:c>
      <x:c r="H44" s="35" t="n">
        <x:v>1895152.2899999998</x:v>
      </x:c>
      <x:c r="I44" s="36" t="str">
        <x:v>2025-12-26T14:44:27.000</x:v>
      </x:c>
      <x:c r="J44" s="31" t="str">
        <x:f>UNICHAR(26159)</x:f>
        <x:v>是</x:v>
      </x:c>
      <x:c r="K44" s="31" t="n">
        <x:v>0</x:v>
      </x:c>
      <x:c r="L44" s="31" t="str">
        <x:f>"2"&amp;UNICHAR(36339)&amp;UNICHAR(20851)&amp;UNICHAR(31995)&amp;UNICHAR(65307)&amp;UNICHAR(36335)&amp;UNICHAR(24452)&amp;UNICHAR(32047)&amp;UNICHAR(35745)&amp;"25"&amp;UNICHAR(31508)&amp;UNICHAR(65307)&amp;UNICHAR(32047)&amp;UNICHAR(35745)&amp;UNICHAR(32477)&amp;UNICHAR(23545)&amp;UNICHAR(37329)&amp;UNICHAR(39069)&amp;"1,895,152.29"&amp;UNICHAR(20803)&amp;UNICHAR(65307)&amp;UNICHAR(26368)&amp;UNICHAR(36817)&amp;UNICHAR(20132)&amp;UNICHAR(26131)&amp;"2025-12-26 14:44:27"&amp;UNICHAR(65307)&amp;UNICHAR(21516)&amp;UNICHAR(31038)&amp;UNICHAR(21306)&amp;"="&amp;UNICHAR(26159)&amp;UNICHAR(65307)&amp;UNICHAR(21452)&amp;UNICHAR(21521)&amp;UNICHAR(20851)&amp;UNICHAR(31995)&amp;"0"&amp;UNICHAR(26465)</x:f>
        <x:v>2跳关系；路径累计25笔；累计绝对金额1,895,152.29元；最近交易2025-12-26 14:44:27；同社区=是；双向关系0条</x:v>
      </x:c>
      <x:c r="M44" s="34" t="str"/>
      <x:c r="N44" s="34" t="str"/>
      <x:c r="O44" s="34" t="str"/>
      <x:c r="P44" s="34" t="str"/>
      <x:c r="Q44" s="34" t="str"/>
      <x:c r="R44" s="34" t="str"/>
      <x:c r="S44" s="37" t="str"/>
    </x:row>
    <x:row r="45" ht="38" customHeight="1">
      <x:c r="A45" s="31" t="str">
        <x:v>LINK-020</x:v>
      </x:c>
      <x:c r="B45" s="31" t="str">
        <x:v>B</x:v>
      </x:c>
      <x:c r="C45" s="31" t="str">
        <x:v>A00078</x:v>
      </x:c>
      <x:c r="D45" s="31" t="str">
        <x:v>A00064</x:v>
      </x:c>
      <x:c r="E45" s="31" t="n">
        <x:v>2</x:v>
      </x:c>
      <x:c r="F45" s="31" t="str">
        <x:f>"A00078 "&amp;UNICHAR(8594)&amp;" A00012 "&amp;UNICHAR(8594)&amp;" A00064"</x:f>
        <x:v>A00078 → A00012 → A00064</x:v>
      </x:c>
      <x:c r="G45" s="31" t="n">
        <x:v>25</x:v>
      </x:c>
      <x:c r="H45" s="35" t="n">
        <x:v>1895152.2899999998</x:v>
      </x:c>
      <x:c r="I45" s="36" t="str">
        <x:v>2025-12-26T14:44:27.000</x:v>
      </x:c>
      <x:c r="J45" s="31" t="str">
        <x:f>UNICHAR(26159)</x:f>
        <x:v>是</x:v>
      </x:c>
      <x:c r="K45" s="31" t="n">
        <x:v>0</x:v>
      </x:c>
      <x:c r="L45" s="31" t="str">
        <x:f>"2"&amp;UNICHAR(36339)&amp;UNICHAR(20851)&amp;UNICHAR(31995)&amp;UNICHAR(65307)&amp;UNICHAR(36335)&amp;UNICHAR(24452)&amp;UNICHAR(32047)&amp;UNICHAR(35745)&amp;"25"&amp;UNICHAR(31508)&amp;UNICHAR(65307)&amp;UNICHAR(32047)&amp;UNICHAR(35745)&amp;UNICHAR(32477)&amp;UNICHAR(23545)&amp;UNICHAR(37329)&amp;UNICHAR(39069)&amp;"1,895,152.29"&amp;UNICHAR(20803)&amp;UNICHAR(65307)&amp;UNICHAR(26368)&amp;UNICHAR(36817)&amp;UNICHAR(20132)&amp;UNICHAR(26131)&amp;"2025-12-26 14:44:27"&amp;UNICHAR(65307)&amp;UNICHAR(21516)&amp;UNICHAR(31038)&amp;UNICHAR(21306)&amp;"="&amp;UNICHAR(26159)&amp;UNICHAR(65307)&amp;UNICHAR(21452)&amp;UNICHAR(21521)&amp;UNICHAR(20851)&amp;UNICHAR(31995)&amp;"0"&amp;UNICHAR(26465)</x:f>
        <x:v>2跳关系；路径累计25笔；累计绝对金额1,895,152.29元；最近交易2025-12-26 14:44:27；同社区=是；双向关系0条</x:v>
      </x:c>
      <x:c r="M45" s="34" t="str"/>
      <x:c r="N45" s="34" t="str"/>
      <x:c r="O45" s="34" t="str"/>
      <x:c r="P45" s="34" t="str"/>
      <x:c r="Q45" s="34" t="str"/>
      <x:c r="R45" s="34" t="str"/>
      <x:c r="S45" s="37" t="str"/>
    </x:row>
    <x:row r="46" ht="38" customHeight="1">
      <x:c r="A46" s="31" t="str">
        <x:v>LINK-021</x:v>
      </x:c>
      <x:c r="B46" s="31" t="str">
        <x:v>A</x:v>
      </x:c>
      <x:c r="C46" s="31" t="str">
        <x:v>A00078</x:v>
      </x:c>
      <x:c r="D46" s="31" t="str">
        <x:v>A00083</x:v>
      </x:c>
      <x:c r="E46" s="31" t="n">
        <x:v>2</x:v>
      </x:c>
      <x:c r="F46" s="31" t="str">
        <x:f>"A00078 "&amp;UNICHAR(8594)&amp;" A00012 "&amp;UNICHAR(8594)&amp;" A00083"</x:f>
        <x:v>A00078 → A00012 → A00083</x:v>
      </x:c>
      <x:c r="G46" s="31" t="n">
        <x:v>17</x:v>
      </x:c>
      <x:c r="H46" s="35" t="n">
        <x:v>597905.9</x:v>
      </x:c>
      <x:c r="I46" s="36" t="str">
        <x:v>2025-12-10T10:08:24.000</x:v>
      </x:c>
      <x:c r="J46" s="31" t="str">
        <x:f>UNICHAR(26159)</x:f>
        <x:v>是</x:v>
      </x:c>
      <x:c r="K46" s="31" t="n">
        <x:v>0</x:v>
      </x:c>
      <x:c r="L46" s="31" t="str">
        <x:f>"2"&amp;UNICHAR(36339)&amp;UNICHAR(20851)&amp;UNICHAR(31995)&amp;UNICHAR(65307)&amp;UNICHAR(36335)&amp;UNICHAR(24452)&amp;UNICHAR(32047)&amp;UNICHAR(35745)&amp;"17"&amp;UNICHAR(31508)&amp;UNICHAR(65307)&amp;UNICHAR(32047)&amp;UNICHAR(35745)&amp;UNICHAR(32477)&amp;UNICHAR(23545)&amp;UNICHAR(37329)&amp;UNICHAR(39069)&amp;"597,905.90"&amp;UNICHAR(20803)&amp;UNICHAR(65307)&amp;UNICHAR(26368)&amp;UNICHAR(36817)&amp;UNICHAR(20132)&amp;UNICHAR(26131)&amp;"2025-12-10 10:08:24"&amp;UNICHAR(65307)&amp;UNICHAR(21516)&amp;UNICHAR(31038)&amp;UNICHAR(21306)&amp;"="&amp;UNICHAR(26159)&amp;UNICHAR(65307)&amp;UNICHAR(21452)&amp;UNICHAR(21521)&amp;UNICHAR(20851)&amp;UNICHAR(31995)&amp;"0"&amp;UNICHAR(26465)</x:f>
        <x:v>2跳关系；路径累计17笔；累计绝对金额597,905.90元；最近交易2025-12-10 10:08:24；同社区=是；双向关系0条</x:v>
      </x:c>
      <x:c r="M46" s="34" t="str"/>
      <x:c r="N46" s="34" t="str"/>
      <x:c r="O46" s="34" t="str"/>
      <x:c r="P46" s="34" t="str"/>
      <x:c r="Q46" s="34" t="str"/>
      <x:c r="R46" s="34" t="str"/>
      <x:c r="S46" s="37" t="str"/>
    </x:row>
    <x:row r="47" ht="38" customHeight="1">
      <x:c r="A47" s="31" t="str">
        <x:v>LINK-021</x:v>
      </x:c>
      <x:c r="B47" s="31" t="str">
        <x:v>B</x:v>
      </x:c>
      <x:c r="C47" s="31" t="str">
        <x:v>A00078</x:v>
      </x:c>
      <x:c r="D47" s="31" t="str">
        <x:v>A00083</x:v>
      </x:c>
      <x:c r="E47" s="31" t="n">
        <x:v>2</x:v>
      </x:c>
      <x:c r="F47" s="31" t="str">
        <x:f>"A00078 "&amp;UNICHAR(8594)&amp;" A00012 "&amp;UNICHAR(8594)&amp;" A00083"</x:f>
        <x:v>A00078 → A00012 → A00083</x:v>
      </x:c>
      <x:c r="G47" s="31" t="n">
        <x:v>17</x:v>
      </x:c>
      <x:c r="H47" s="35" t="n">
        <x:v>597905.9</x:v>
      </x:c>
      <x:c r="I47" s="36" t="str">
        <x:v>2025-12-10T10:08:24.000</x:v>
      </x:c>
      <x:c r="J47" s="31" t="str">
        <x:f>UNICHAR(26159)</x:f>
        <x:v>是</x:v>
      </x:c>
      <x:c r="K47" s="31" t="n">
        <x:v>0</x:v>
      </x:c>
      <x:c r="L47" s="31" t="str">
        <x:f>"2"&amp;UNICHAR(36339)&amp;UNICHAR(20851)&amp;UNICHAR(31995)&amp;UNICHAR(65307)&amp;UNICHAR(36335)&amp;UNICHAR(24452)&amp;UNICHAR(32047)&amp;UNICHAR(35745)&amp;"17"&amp;UNICHAR(31508)&amp;UNICHAR(65307)&amp;UNICHAR(32047)&amp;UNICHAR(35745)&amp;UNICHAR(32477)&amp;UNICHAR(23545)&amp;UNICHAR(37329)&amp;UNICHAR(39069)&amp;"597,905.90"&amp;UNICHAR(20803)&amp;UNICHAR(65307)&amp;UNICHAR(26368)&amp;UNICHAR(36817)&amp;UNICHAR(20132)&amp;UNICHAR(26131)&amp;"2025-12-10 10:08:24"&amp;UNICHAR(65307)&amp;UNICHAR(21516)&amp;UNICHAR(31038)&amp;UNICHAR(21306)&amp;"="&amp;UNICHAR(26159)&amp;UNICHAR(65307)&amp;UNICHAR(21452)&amp;UNICHAR(21521)&amp;UNICHAR(20851)&amp;UNICHAR(31995)&amp;"0"&amp;UNICHAR(26465)</x:f>
        <x:v>2跳关系；路径累计17笔；累计绝对金额597,905.90元；最近交易2025-12-10 10:08:24；同社区=是；双向关系0条</x:v>
      </x:c>
      <x:c r="M47" s="34" t="str"/>
      <x:c r="N47" s="34" t="str"/>
      <x:c r="O47" s="34" t="str"/>
      <x:c r="P47" s="34" t="str"/>
      <x:c r="Q47" s="34" t="str"/>
      <x:c r="R47" s="34" t="str"/>
      <x:c r="S47" s="37" t="str"/>
    </x:row>
    <x:row r="48" ht="38" customHeight="1">
      <x:c r="A48" s="31" t="str">
        <x:v>LINK-022</x:v>
      </x:c>
      <x:c r="B48" s="31" t="str">
        <x:v>A</x:v>
      </x:c>
      <x:c r="C48" s="31" t="str">
        <x:v>A00004</x:v>
      </x:c>
      <x:c r="D48" s="31" t="str">
        <x:v>A00084</x:v>
      </x:c>
      <x:c r="E48" s="31" t="n">
        <x:v>3</x:v>
      </x:c>
      <x:c r="F48" s="31" t="str">
        <x:f>"A00004 "&amp;UNICHAR(8594)&amp;" A00079 "&amp;UNICHAR(8594)&amp;" A00032 "&amp;UNICHAR(8594)&amp;" A00084"</x:f>
        <x:v>A00004 → A00079 → A00032 → A00084</x:v>
      </x:c>
      <x:c r="G48" s="31" t="n">
        <x:v>394</x:v>
      </x:c>
      <x:c r="H48" s="35" t="n">
        <x:v>40626745.61</x:v>
      </x:c>
      <x:c r="I48" s="36" t="str">
        <x:v>2025-12-29T14:10:33.000</x:v>
      </x:c>
      <x:c r="J48" s="31" t="str">
        <x:f>UNICHAR(26159)</x:f>
        <x:v>是</x:v>
      </x:c>
      <x:c r="K48" s="31" t="n">
        <x:v>0</x:v>
      </x:c>
      <x:c r="L48" s="31" t="str">
        <x:f>"3"&amp;UNICHAR(36339)&amp;UNICHAR(20851)&amp;UNICHAR(31995)&amp;UNICHAR(65307)&amp;UNICHAR(36335)&amp;UNICHAR(24452)&amp;UNICHAR(32047)&amp;UNICHAR(35745)&amp;"394"&amp;UNICHAR(31508)&amp;UNICHAR(65307)&amp;UNICHAR(32047)&amp;UNICHAR(35745)&amp;UNICHAR(32477)&amp;UNICHAR(23545)&amp;UNICHAR(37329)&amp;UNICHAR(39069)&amp;"40,626,745.61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3跳关系；路径累计394笔；累计绝对金额40,626,745.61元；最近交易2025-12-29 14:10:33；同社区=是；双向关系0条</x:v>
      </x:c>
      <x:c r="M48" s="34" t="str"/>
      <x:c r="N48" s="34" t="str"/>
      <x:c r="O48" s="34" t="str"/>
      <x:c r="P48" s="34" t="str"/>
      <x:c r="Q48" s="34" t="str"/>
      <x:c r="R48" s="34" t="str"/>
      <x:c r="S48" s="37" t="str"/>
    </x:row>
    <x:row r="49" ht="38" customHeight="1">
      <x:c r="A49" s="31" t="str">
        <x:v>LINK-022</x:v>
      </x:c>
      <x:c r="B49" s="31" t="str">
        <x:v>B</x:v>
      </x:c>
      <x:c r="C49" s="31" t="str">
        <x:v>A00004</x:v>
      </x:c>
      <x:c r="D49" s="31" t="str">
        <x:v>A00084</x:v>
      </x:c>
      <x:c r="E49" s="31" t="n">
        <x:v>3</x:v>
      </x:c>
      <x:c r="F49" s="31" t="str">
        <x:f>"A00004 "&amp;UNICHAR(8594)&amp;" A00079 "&amp;UNICHAR(8594)&amp;" A00032 "&amp;UNICHAR(8594)&amp;" A00084"</x:f>
        <x:v>A00004 → A00079 → A00032 → A00084</x:v>
      </x:c>
      <x:c r="G49" s="31" t="n">
        <x:v>394</x:v>
      </x:c>
      <x:c r="H49" s="35" t="n">
        <x:v>40626745.61</x:v>
      </x:c>
      <x:c r="I49" s="36" t="str">
        <x:v>2025-12-29T14:10:33.000</x:v>
      </x:c>
      <x:c r="J49" s="31" t="str">
        <x:f>UNICHAR(26159)</x:f>
        <x:v>是</x:v>
      </x:c>
      <x:c r="K49" s="31" t="n">
        <x:v>0</x:v>
      </x:c>
      <x:c r="L49" s="31" t="str">
        <x:f>"3"&amp;UNICHAR(36339)&amp;UNICHAR(20851)&amp;UNICHAR(31995)&amp;UNICHAR(65307)&amp;UNICHAR(36335)&amp;UNICHAR(24452)&amp;UNICHAR(32047)&amp;UNICHAR(35745)&amp;"394"&amp;UNICHAR(31508)&amp;UNICHAR(65307)&amp;UNICHAR(32047)&amp;UNICHAR(35745)&amp;UNICHAR(32477)&amp;UNICHAR(23545)&amp;UNICHAR(37329)&amp;UNICHAR(39069)&amp;"40,626,745.61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3跳关系；路径累计394笔；累计绝对金额40,626,745.61元；最近交易2025-12-29 14:10:33；同社区=是；双向关系0条</x:v>
      </x:c>
      <x:c r="M49" s="34" t="str"/>
      <x:c r="N49" s="34" t="str"/>
      <x:c r="O49" s="34" t="str"/>
      <x:c r="P49" s="34" t="str"/>
      <x:c r="Q49" s="34" t="str"/>
      <x:c r="R49" s="34" t="str"/>
      <x:c r="S49" s="37" t="str"/>
    </x:row>
    <x:row r="50" ht="38" customHeight="1">
      <x:c r="A50" s="31" t="str">
        <x:v>LINK-023</x:v>
      </x:c>
      <x:c r="B50" s="31" t="str">
        <x:v>A</x:v>
      </x:c>
      <x:c r="C50" s="31" t="str">
        <x:v>A00022</x:v>
      </x:c>
      <x:c r="D50" s="31" t="str">
        <x:v>A00090</x:v>
      </x:c>
      <x:c r="E50" s="31" t="n">
        <x:v>2</x:v>
      </x:c>
      <x:c r="F50" s="31" t="str">
        <x:f>"A00022 "&amp;UNICHAR(8594)&amp;" A00091 "&amp;UNICHAR(8594)&amp;" A00090"</x:f>
        <x:v>A00022 → A00091 → A00090</x:v>
      </x:c>
      <x:c r="G50" s="31" t="n">
        <x:v>22</x:v>
      </x:c>
      <x:c r="H50" s="35" t="n">
        <x:v>8542438</x:v>
      </x:c>
      <x:c r="I50" s="36" t="str">
        <x:v>2025-12-25T10:43:24.000</x:v>
      </x:c>
      <x:c r="J50" s="31" t="str">
        <x:f>UNICHAR(26159)</x:f>
        <x:v>是</x:v>
      </x:c>
      <x:c r="K50" s="31" t="n">
        <x:v>0</x:v>
      </x:c>
      <x:c r="L50" s="31" t="str">
        <x:f>"2"&amp;UNICHAR(36339)&amp;UNICHAR(20851)&amp;UNICHAR(31995)&amp;UNICHAR(65307)&amp;UNICHAR(36335)&amp;UNICHAR(24452)&amp;UNICHAR(32047)&amp;UNICHAR(35745)&amp;"22"&amp;UNICHAR(31508)&amp;UNICHAR(65307)&amp;UNICHAR(32047)&amp;UNICHAR(35745)&amp;UNICHAR(32477)&amp;UNICHAR(23545)&amp;UNICHAR(37329)&amp;UNICHAR(39069)&amp;"8,542,438.00"&amp;UNICHAR(20803)&amp;UNICHAR(65307)&amp;UNICHAR(26368)&amp;UNICHAR(36817)&amp;UNICHAR(20132)&amp;UNICHAR(26131)&amp;"2025-12-25 10:43:24"&amp;UNICHAR(65307)&amp;UNICHAR(21516)&amp;UNICHAR(31038)&amp;UNICHAR(21306)&amp;"="&amp;UNICHAR(26159)&amp;UNICHAR(65307)&amp;UNICHAR(21452)&amp;UNICHAR(21521)&amp;UNICHAR(20851)&amp;UNICHAR(31995)&amp;"0"&amp;UNICHAR(26465)</x:f>
        <x:v>2跳关系；路径累计22笔；累计绝对金额8,542,438.00元；最近交易2025-12-25 10:43:24；同社区=是；双向关系0条</x:v>
      </x:c>
      <x:c r="M50" s="34" t="str"/>
      <x:c r="N50" s="34" t="str"/>
      <x:c r="O50" s="34" t="str"/>
      <x:c r="P50" s="34" t="str"/>
      <x:c r="Q50" s="34" t="str"/>
      <x:c r="R50" s="34" t="str"/>
      <x:c r="S50" s="37" t="str"/>
    </x:row>
    <x:row r="51" ht="38" customHeight="1">
      <x:c r="A51" s="31" t="str">
        <x:v>LINK-023</x:v>
      </x:c>
      <x:c r="B51" s="31" t="str">
        <x:v>B</x:v>
      </x:c>
      <x:c r="C51" s="31" t="str">
        <x:v>A00022</x:v>
      </x:c>
      <x:c r="D51" s="31" t="str">
        <x:v>A00090</x:v>
      </x:c>
      <x:c r="E51" s="31" t="n">
        <x:v>2</x:v>
      </x:c>
      <x:c r="F51" s="31" t="str">
        <x:f>"A00022 "&amp;UNICHAR(8594)&amp;" A00091 "&amp;UNICHAR(8594)&amp;" A00090"</x:f>
        <x:v>A00022 → A00091 → A00090</x:v>
      </x:c>
      <x:c r="G51" s="31" t="n">
        <x:v>22</x:v>
      </x:c>
      <x:c r="H51" s="35" t="n">
        <x:v>8542438</x:v>
      </x:c>
      <x:c r="I51" s="36" t="str">
        <x:v>2025-12-25T10:43:24.000</x:v>
      </x:c>
      <x:c r="J51" s="31" t="str">
        <x:f>UNICHAR(26159)</x:f>
        <x:v>是</x:v>
      </x:c>
      <x:c r="K51" s="31" t="n">
        <x:v>0</x:v>
      </x:c>
      <x:c r="L51" s="31" t="str">
        <x:f>"2"&amp;UNICHAR(36339)&amp;UNICHAR(20851)&amp;UNICHAR(31995)&amp;UNICHAR(65307)&amp;UNICHAR(36335)&amp;UNICHAR(24452)&amp;UNICHAR(32047)&amp;UNICHAR(35745)&amp;"22"&amp;UNICHAR(31508)&amp;UNICHAR(65307)&amp;UNICHAR(32047)&amp;UNICHAR(35745)&amp;UNICHAR(32477)&amp;UNICHAR(23545)&amp;UNICHAR(37329)&amp;UNICHAR(39069)&amp;"8,542,438.00"&amp;UNICHAR(20803)&amp;UNICHAR(65307)&amp;UNICHAR(26368)&amp;UNICHAR(36817)&amp;UNICHAR(20132)&amp;UNICHAR(26131)&amp;"2025-12-25 10:43:24"&amp;UNICHAR(65307)&amp;UNICHAR(21516)&amp;UNICHAR(31038)&amp;UNICHAR(21306)&amp;"="&amp;UNICHAR(26159)&amp;UNICHAR(65307)&amp;UNICHAR(21452)&amp;UNICHAR(21521)&amp;UNICHAR(20851)&amp;UNICHAR(31995)&amp;"0"&amp;UNICHAR(26465)</x:f>
        <x:v>2跳关系；路径累计22笔；累计绝对金额8,542,438.00元；最近交易2025-12-25 10:43:24；同社区=是；双向关系0条</x:v>
      </x:c>
      <x:c r="M51" s="34" t="str"/>
      <x:c r="N51" s="34" t="str"/>
      <x:c r="O51" s="34" t="str"/>
      <x:c r="P51" s="34" t="str"/>
      <x:c r="Q51" s="34" t="str"/>
      <x:c r="R51" s="34" t="str"/>
      <x:c r="S51" s="37" t="str"/>
    </x:row>
    <x:row r="52" ht="38" customHeight="1">
      <x:c r="A52" s="31" t="str">
        <x:v>LINK-024</x:v>
      </x:c>
      <x:c r="B52" s="31" t="str">
        <x:v>A</x:v>
      </x:c>
      <x:c r="C52" s="31" t="str">
        <x:v>A00045</x:v>
      </x:c>
      <x:c r="D52" s="31" t="str">
        <x:v>A00006</x:v>
      </x:c>
      <x:c r="E52" s="31" t="n">
        <x:v>3</x:v>
      </x:c>
      <x:c r="F52" s="31" t="str">
        <x:f>"A00045 "&amp;UNICHAR(8594)&amp;" A00074 "&amp;UNICHAR(8594)&amp;" A00056 "&amp;UNICHAR(8594)&amp;" A00006"</x:f>
        <x:v>A00045 → A00074 → A00056 → A00006</x:v>
      </x:c>
      <x:c r="G52" s="31" t="n">
        <x:v>208</x:v>
      </x:c>
      <x:c r="H52" s="35" t="n">
        <x:v>2899114712.02</x:v>
      </x:c>
      <x:c r="I52" s="36" t="str">
        <x:v>2025-12-31T15:32:57.000</x:v>
      </x:c>
      <x:c r="J52" s="31" t="str">
        <x:f>UNICHAR(26159)</x:f>
        <x:v>是</x:v>
      </x:c>
      <x:c r="K52" s="31" t="n">
        <x:v>2</x:v>
      </x:c>
      <x:c r="L52" s="31" t="str">
        <x:f>"3"&amp;UNICHAR(36339)&amp;UNICHAR(20851)&amp;UNICHAR(31995)&amp;UNICHAR(65307)&amp;UNICHAR(36335)&amp;UNICHAR(24452)&amp;UNICHAR(32047)&amp;UNICHAR(35745)&amp;"208"&amp;UNICHAR(31508)&amp;UNICHAR(65307)&amp;UNICHAR(32047)&amp;UNICHAR(35745)&amp;UNICHAR(32477)&amp;UNICHAR(23545)&amp;UNICHAR(37329)&amp;UNICHAR(39069)&amp;"2,899,114,712.02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3跳关系；路径累计208笔；累计绝对金额2,899,114,712.02元；最近交易2025-12-31 15:32:57；同社区=是；双向关系2条</x:v>
      </x:c>
      <x:c r="M52" s="34" t="str"/>
      <x:c r="N52" s="34" t="str"/>
      <x:c r="O52" s="34" t="str"/>
      <x:c r="P52" s="34" t="str"/>
      <x:c r="Q52" s="34" t="str"/>
      <x:c r="R52" s="34" t="str"/>
      <x:c r="S52" s="37" t="str"/>
    </x:row>
    <x:row r="53" ht="38" customHeight="1">
      <x:c r="A53" s="31" t="str">
        <x:v>LINK-024</x:v>
      </x:c>
      <x:c r="B53" s="31" t="str">
        <x:v>B</x:v>
      </x:c>
      <x:c r="C53" s="31" t="str">
        <x:v>A00045</x:v>
      </x:c>
      <x:c r="D53" s="31" t="str">
        <x:v>A00006</x:v>
      </x:c>
      <x:c r="E53" s="31" t="n">
        <x:v>3</x:v>
      </x:c>
      <x:c r="F53" s="31" t="str">
        <x:f>"A00045 "&amp;UNICHAR(8594)&amp;" A00074 "&amp;UNICHAR(8594)&amp;" A00056 "&amp;UNICHAR(8594)&amp;" A00006"</x:f>
        <x:v>A00045 → A00074 → A00056 → A00006</x:v>
      </x:c>
      <x:c r="G53" s="31" t="n">
        <x:v>208</x:v>
      </x:c>
      <x:c r="H53" s="35" t="n">
        <x:v>2899114712.02</x:v>
      </x:c>
      <x:c r="I53" s="36" t="str">
        <x:v>2025-12-31T15:32:57.000</x:v>
      </x:c>
      <x:c r="J53" s="31" t="str">
        <x:f>UNICHAR(26159)</x:f>
        <x:v>是</x:v>
      </x:c>
      <x:c r="K53" s="31" t="n">
        <x:v>2</x:v>
      </x:c>
      <x:c r="L53" s="31" t="str">
        <x:f>"3"&amp;UNICHAR(36339)&amp;UNICHAR(20851)&amp;UNICHAR(31995)&amp;UNICHAR(65307)&amp;UNICHAR(36335)&amp;UNICHAR(24452)&amp;UNICHAR(32047)&amp;UNICHAR(35745)&amp;"208"&amp;UNICHAR(31508)&amp;UNICHAR(65307)&amp;UNICHAR(32047)&amp;UNICHAR(35745)&amp;UNICHAR(32477)&amp;UNICHAR(23545)&amp;UNICHAR(37329)&amp;UNICHAR(39069)&amp;"2,899,114,712.02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3跳关系；路径累计208笔；累计绝对金额2,899,114,712.02元；最近交易2025-12-31 15:32:57；同社区=是；双向关系2条</x:v>
      </x:c>
      <x:c r="M53" s="34" t="str"/>
      <x:c r="N53" s="34" t="str"/>
      <x:c r="O53" s="34" t="str"/>
      <x:c r="P53" s="34" t="str"/>
      <x:c r="Q53" s="34" t="str"/>
      <x:c r="R53" s="34" t="str"/>
      <x:c r="S53" s="37" t="str"/>
    </x:row>
    <x:row r="54" ht="38" customHeight="1">
      <x:c r="A54" s="31" t="str">
        <x:v>LINK-025</x:v>
      </x:c>
      <x:c r="B54" s="31" t="str">
        <x:v>A</x:v>
      </x:c>
      <x:c r="C54" s="31" t="str">
        <x:v>A00078</x:v>
      </x:c>
      <x:c r="D54" s="31" t="str">
        <x:v>A00012</x:v>
      </x:c>
      <x:c r="E54" s="31" t="n">
        <x:v>1</x:v>
      </x:c>
      <x:c r="F54" s="31" t="str">
        <x:f>"A00078 "&amp;UNICHAR(8594)&amp;" A00012"</x:f>
        <x:v>A00078 → A00012</x:v>
      </x:c>
      <x:c r="G54" s="31" t="n">
        <x:v>3</x:v>
      </x:c>
      <x:c r="H54" s="35" t="n">
        <x:v>4501.9</x:v>
      </x:c>
      <x:c r="I54" s="36" t="str">
        <x:v>2025-11-12T15:05:34.000</x:v>
      </x:c>
      <x:c r="J54" s="31" t="str">
        <x:f>UNICHAR(26159)</x:f>
        <x:v>是</x:v>
      </x:c>
      <x:c r="K54" s="31" t="n">
        <x:v>0</x:v>
      </x:c>
      <x:c r="L54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4,501.90"&amp;UNICHAR(20803)&amp;UNICHAR(65307)&amp;UNICHAR(26368)&amp;UNICHAR(36817)&amp;UNICHAR(20132)&amp;UNICHAR(26131)&amp;"2025-11-12 15:05:34"&amp;UNICHAR(65307)&amp;UNICHAR(21516)&amp;UNICHAR(31038)&amp;UNICHAR(21306)&amp;"="&amp;UNICHAR(26159)&amp;UNICHAR(65307)&amp;UNICHAR(21452)&amp;UNICHAR(21521)&amp;UNICHAR(20851)&amp;UNICHAR(31995)&amp;"0"&amp;UNICHAR(26465)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1跳关系；路径累计3笔；累计绝对金额4,501.90元；最近交易2025-11-12 15:05:34；同社区=是；双向关系0条</x:v>
      </x:c>
      <x:c r="M54" s="34" t="str"/>
      <x:c r="N54" s="34" t="str"/>
      <x:c r="O54" s="34" t="str"/>
      <x:c r="P54" s="34" t="str"/>
      <x:c r="Q54" s="34" t="str"/>
      <x:c r="R54" s="34" t="str"/>
      <x:c r="S54" s="37" t="str"/>
    </x:row>
    <x:row r="55" ht="38" customHeight="1">
      <x:c r="A55" s="31" t="str">
        <x:v>LINK-025</x:v>
      </x:c>
      <x:c r="B55" s="31" t="str">
        <x:v>B</x:v>
      </x:c>
      <x:c r="C55" s="31" t="str">
        <x:v>A00078</x:v>
      </x:c>
      <x:c r="D55" s="31" t="str">
        <x:v>A00012</x:v>
      </x:c>
      <x:c r="E55" s="31" t="n">
        <x:v>1</x:v>
      </x:c>
      <x:c r="F55" s="31" t="str">
        <x:f>"A00078 "&amp;UNICHAR(8594)&amp;" A00012"</x:f>
        <x:v>A00078 → A00012</x:v>
      </x:c>
      <x:c r="G55" s="31" t="n">
        <x:v>3</x:v>
      </x:c>
      <x:c r="H55" s="35" t="n">
        <x:v>4501.9</x:v>
      </x:c>
      <x:c r="I55" s="36" t="str">
        <x:v>2025-11-12T15:05:34.000</x:v>
      </x:c>
      <x:c r="J55" s="31" t="str">
        <x:f>UNICHAR(26159)</x:f>
        <x:v>是</x:v>
      </x:c>
      <x:c r="K55" s="31" t="n">
        <x:v>0</x:v>
      </x:c>
      <x:c r="L55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4,501.90"&amp;UNICHAR(20803)&amp;UNICHAR(65307)&amp;UNICHAR(26368)&amp;UNICHAR(36817)&amp;UNICHAR(20132)&amp;UNICHAR(26131)&amp;"2025-11-12 15:05:34"&amp;UNICHAR(65307)&amp;UNICHAR(21516)&amp;UNICHAR(31038)&amp;UNICHAR(21306)&amp;"="&amp;UNICHAR(26159)&amp;UNICHAR(65307)&amp;UNICHAR(21452)&amp;UNICHAR(21521)&amp;UNICHAR(20851)&amp;UNICHAR(31995)&amp;"0"&amp;UNICHAR(26465)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1跳关系；路径累计3笔；累计绝对金额4,501.90元；最近交易2025-11-12 15:05:34；同社区=是；双向关系0条</x:v>
      </x:c>
      <x:c r="M55" s="34" t="str"/>
      <x:c r="N55" s="34" t="str"/>
      <x:c r="O55" s="34" t="str"/>
      <x:c r="P55" s="34" t="str"/>
      <x:c r="Q55" s="34" t="str"/>
      <x:c r="R55" s="34" t="str"/>
      <x:c r="S55" s="37" t="str"/>
    </x:row>
    <x:row r="56" ht="38" customHeight="1">
      <x:c r="A56" s="31" t="str">
        <x:v>LINK-026</x:v>
      </x:c>
      <x:c r="B56" s="31" t="str">
        <x:v>A</x:v>
      </x:c>
      <x:c r="C56" s="31" t="str">
        <x:v>A00045</x:v>
      </x:c>
      <x:c r="D56" s="31" t="str">
        <x:v>A00071</x:v>
      </x:c>
      <x:c r="E56" s="31" t="n">
        <x:v>3</x:v>
      </x:c>
      <x:c r="F56" s="31" t="str">
        <x:f>"A00045 "&amp;UNICHAR(8594)&amp;" A00074 "&amp;UNICHAR(8594)&amp;" A00056 "&amp;UNICHAR(8594)&amp;" A00071"</x:f>
        <x:v>A00045 → A00074 → A00056 → A00071</x:v>
      </x:c>
      <x:c r="G56" s="31" t="n">
        <x:v>194</x:v>
      </x:c>
      <x:c r="H56" s="35" t="n">
        <x:v>18324853613.33</x:v>
      </x:c>
      <x:c r="I56" s="36" t="str">
        <x:v>2025-12-31T15:32:57.000</x:v>
      </x:c>
      <x:c r="J56" s="31" t="str">
        <x:f>UNICHAR(26159)</x:f>
        <x:v>是</x:v>
      </x:c>
      <x:c r="K56" s="31" t="n">
        <x:v>3</x:v>
      </x:c>
      <x:c r="L56" s="31" t="str">
        <x:f>"3"&amp;UNICHAR(36339)&amp;UNICHAR(20851)&amp;UNICHAR(31995)&amp;UNICHAR(65307)&amp;UNICHAR(36335)&amp;UNICHAR(24452)&amp;UNICHAR(32047)&amp;UNICHAR(35745)&amp;"194"&amp;UNICHAR(31508)&amp;UNICHAR(65307)&amp;UNICHAR(32047)&amp;UNICHAR(35745)&amp;UNICHAR(32477)&amp;UNICHAR(23545)&amp;UNICHAR(37329)&amp;UNICHAR(39069)&amp;"18,324,853,613.33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3跳关系；路径累计194笔；累计绝对金额18,324,853,613.33元；最近交易2025-12-31 15:32:57；同社区=是；双向关系3条</x:v>
      </x:c>
      <x:c r="M56" s="34" t="str"/>
      <x:c r="N56" s="34" t="str"/>
      <x:c r="O56" s="34" t="str"/>
      <x:c r="P56" s="34" t="str"/>
      <x:c r="Q56" s="34" t="str"/>
      <x:c r="R56" s="34" t="str"/>
      <x:c r="S56" s="37" t="str"/>
    </x:row>
    <x:row r="57" ht="38" customHeight="1">
      <x:c r="A57" s="31" t="str">
        <x:v>LINK-026</x:v>
      </x:c>
      <x:c r="B57" s="31" t="str">
        <x:v>B</x:v>
      </x:c>
      <x:c r="C57" s="31" t="str">
        <x:v>A00045</x:v>
      </x:c>
      <x:c r="D57" s="31" t="str">
        <x:v>A00071</x:v>
      </x:c>
      <x:c r="E57" s="31" t="n">
        <x:v>3</x:v>
      </x:c>
      <x:c r="F57" s="31" t="str">
        <x:f>"A00045 "&amp;UNICHAR(8594)&amp;" A00074 "&amp;UNICHAR(8594)&amp;" A00056 "&amp;UNICHAR(8594)&amp;" A00071"</x:f>
        <x:v>A00045 → A00074 → A00056 → A00071</x:v>
      </x:c>
      <x:c r="G57" s="31" t="n">
        <x:v>194</x:v>
      </x:c>
      <x:c r="H57" s="35" t="n">
        <x:v>18324853613.33</x:v>
      </x:c>
      <x:c r="I57" s="36" t="str">
        <x:v>2025-12-31T15:32:57.000</x:v>
      </x:c>
      <x:c r="J57" s="31" t="str">
        <x:f>UNICHAR(26159)</x:f>
        <x:v>是</x:v>
      </x:c>
      <x:c r="K57" s="31" t="n">
        <x:v>3</x:v>
      </x:c>
      <x:c r="L57" s="31" t="str">
        <x:f>"3"&amp;UNICHAR(36339)&amp;UNICHAR(20851)&amp;UNICHAR(31995)&amp;UNICHAR(65307)&amp;UNICHAR(36335)&amp;UNICHAR(24452)&amp;UNICHAR(32047)&amp;UNICHAR(35745)&amp;"194"&amp;UNICHAR(31508)&amp;UNICHAR(65307)&amp;UNICHAR(32047)&amp;UNICHAR(35745)&amp;UNICHAR(32477)&amp;UNICHAR(23545)&amp;UNICHAR(37329)&amp;UNICHAR(39069)&amp;"18,324,853,613.33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3跳关系；路径累计194笔；累计绝对金额18,324,853,613.33元；最近交易2025-12-31 15:32:57；同社区=是；双向关系3条</x:v>
      </x:c>
      <x:c r="M57" s="34" t="str"/>
      <x:c r="N57" s="34" t="str"/>
      <x:c r="O57" s="34" t="str"/>
      <x:c r="P57" s="34" t="str"/>
      <x:c r="Q57" s="34" t="str"/>
      <x:c r="R57" s="34" t="str"/>
      <x:c r="S57" s="37" t="str"/>
    </x:row>
    <x:row r="58" ht="38" customHeight="1">
      <x:c r="A58" s="31" t="str">
        <x:v>LINK-027</x:v>
      </x:c>
      <x:c r="B58" s="31" t="str">
        <x:v>A</x:v>
      </x:c>
      <x:c r="C58" s="31" t="str">
        <x:v>A00078</x:v>
      </x:c>
      <x:c r="D58" s="31" t="str">
        <x:v>A00017</x:v>
      </x:c>
      <x:c r="E58" s="31" t="n">
        <x:v>2</x:v>
      </x:c>
      <x:c r="F58" s="31" t="str">
        <x:f>"A00078 "&amp;UNICHAR(8594)&amp;" A00012 "&amp;UNICHAR(8594)&amp;" A00017"</x:f>
        <x:v>A00078 → A00012 → A00017</x:v>
      </x:c>
      <x:c r="G58" s="31" t="n">
        <x:v>46</x:v>
      </x:c>
      <x:c r="H58" s="35" t="n">
        <x:v>19882739.619999997</x:v>
      </x:c>
      <x:c r="I58" s="36" t="str">
        <x:v>2025-12-15T15:39:36.000</x:v>
      </x:c>
      <x:c r="J58" s="31" t="str">
        <x:f>UNICHAR(26159)</x:f>
        <x:v>是</x:v>
      </x:c>
      <x:c r="K58" s="31" t="n">
        <x:v>0</x:v>
      </x:c>
      <x:c r="L58" s="31" t="str">
        <x:f>"2"&amp;UNICHAR(36339)&amp;UNICHAR(20851)&amp;UNICHAR(31995)&amp;UNICHAR(65307)&amp;UNICHAR(36335)&amp;UNICHAR(24452)&amp;UNICHAR(32047)&amp;UNICHAR(35745)&amp;"46"&amp;UNICHAR(31508)&amp;UNICHAR(65307)&amp;UNICHAR(32047)&amp;UNICHAR(35745)&amp;UNICHAR(32477)&amp;UNICHAR(23545)&amp;UNICHAR(37329)&amp;UNICHAR(39069)&amp;"19,882,739.62"&amp;UNICHAR(20803)&amp;UNICHAR(65307)&amp;UNICHAR(26368)&amp;UNICHAR(36817)&amp;UNICHAR(20132)&amp;UNICHAR(26131)&amp;"2025-12-15 15:39:36"&amp;UNICHAR(65307)&amp;UNICHAR(21516)&amp;UNICHAR(31038)&amp;UNICHAR(21306)&amp;"="&amp;UNICHAR(26159)&amp;UNICHAR(65307)&amp;UNICHAR(21452)&amp;UNICHAR(21521)&amp;UNICHAR(20851)&amp;UNICHAR(31995)&amp;"0"&amp;UNICHAR(26465)</x:f>
        <x:v>2跳关系；路径累计46笔；累计绝对金额19,882,739.62元；最近交易2025-12-15 15:39:36；同社区=是；双向关系0条</x:v>
      </x:c>
      <x:c r="M58" s="34" t="str"/>
      <x:c r="N58" s="34" t="str"/>
      <x:c r="O58" s="34" t="str"/>
      <x:c r="P58" s="34" t="str"/>
      <x:c r="Q58" s="34" t="str"/>
      <x:c r="R58" s="34" t="str"/>
      <x:c r="S58" s="37" t="str"/>
    </x:row>
    <x:row r="59" ht="38" customHeight="1">
      <x:c r="A59" s="31" t="str">
        <x:v>LINK-027</x:v>
      </x:c>
      <x:c r="B59" s="31" t="str">
        <x:v>B</x:v>
      </x:c>
      <x:c r="C59" s="31" t="str">
        <x:v>A00078</x:v>
      </x:c>
      <x:c r="D59" s="31" t="str">
        <x:v>A00017</x:v>
      </x:c>
      <x:c r="E59" s="31" t="n">
        <x:v>2</x:v>
      </x:c>
      <x:c r="F59" s="31" t="str">
        <x:f>"A00078 "&amp;UNICHAR(8594)&amp;" A00012 "&amp;UNICHAR(8594)&amp;" A00017"</x:f>
        <x:v>A00078 → A00012 → A00017</x:v>
      </x:c>
      <x:c r="G59" s="31" t="n">
        <x:v>46</x:v>
      </x:c>
      <x:c r="H59" s="35" t="n">
        <x:v>19882739.619999997</x:v>
      </x:c>
      <x:c r="I59" s="36" t="str">
        <x:v>2025-12-15T15:39:36.000</x:v>
      </x:c>
      <x:c r="J59" s="31" t="str">
        <x:f>UNICHAR(26159)</x:f>
        <x:v>是</x:v>
      </x:c>
      <x:c r="K59" s="31" t="n">
        <x:v>0</x:v>
      </x:c>
      <x:c r="L59" s="31" t="str">
        <x:f>"2"&amp;UNICHAR(36339)&amp;UNICHAR(20851)&amp;UNICHAR(31995)&amp;UNICHAR(65307)&amp;UNICHAR(36335)&amp;UNICHAR(24452)&amp;UNICHAR(32047)&amp;UNICHAR(35745)&amp;"46"&amp;UNICHAR(31508)&amp;UNICHAR(65307)&amp;UNICHAR(32047)&amp;UNICHAR(35745)&amp;UNICHAR(32477)&amp;UNICHAR(23545)&amp;UNICHAR(37329)&amp;UNICHAR(39069)&amp;"19,882,739.62"&amp;UNICHAR(20803)&amp;UNICHAR(65307)&amp;UNICHAR(26368)&amp;UNICHAR(36817)&amp;UNICHAR(20132)&amp;UNICHAR(26131)&amp;"2025-12-15 15:39:36"&amp;UNICHAR(65307)&amp;UNICHAR(21516)&amp;UNICHAR(31038)&amp;UNICHAR(21306)&amp;"="&amp;UNICHAR(26159)&amp;UNICHAR(65307)&amp;UNICHAR(21452)&amp;UNICHAR(21521)&amp;UNICHAR(20851)&amp;UNICHAR(31995)&amp;"0"&amp;UNICHAR(26465)</x:f>
        <x:v>2跳关系；路径累计46笔；累计绝对金额19,882,739.62元；最近交易2025-12-15 15:39:36；同社区=是；双向关系0条</x:v>
      </x:c>
      <x:c r="M59" s="34" t="str"/>
      <x:c r="N59" s="34" t="str"/>
      <x:c r="O59" s="34" t="str"/>
      <x:c r="P59" s="34" t="str"/>
      <x:c r="Q59" s="34" t="str"/>
      <x:c r="R59" s="34" t="str"/>
      <x:c r="S59" s="37" t="str"/>
    </x:row>
    <x:row r="60" ht="38" customHeight="1">
      <x:c r="A60" s="31" t="str">
        <x:v>LINK-028</x:v>
      </x:c>
      <x:c r="B60" s="31" t="str">
        <x:v>A</x:v>
      </x:c>
      <x:c r="C60" s="31" t="str">
        <x:v>A00022</x:v>
      </x:c>
      <x:c r="D60" s="31" t="str">
        <x:v>A00047</x:v>
      </x:c>
      <x:c r="E60" s="31" t="n">
        <x:v>2</x:v>
      </x:c>
      <x:c r="F60" s="31" t="str">
        <x:f>"A00022 "&amp;UNICHAR(8594)&amp;" A00091 "&amp;UNICHAR(8594)&amp;" A00047"</x:f>
        <x:v>A00022 → A00091 → A00047</x:v>
      </x:c>
      <x:c r="G60" s="31" t="n">
        <x:v>9</x:v>
      </x:c>
      <x:c r="H60" s="35" t="n">
        <x:v>5055500</x:v>
      </x:c>
      <x:c r="I60" s="36" t="str">
        <x:v>2025-12-22T08:24:10.000</x:v>
      </x:c>
      <x:c r="J60" s="31" t="str">
        <x:f>UNICHAR(26159)</x:f>
        <x:v>是</x:v>
      </x:c>
      <x:c r="K60" s="31" t="n">
        <x:v>0</x:v>
      </x:c>
      <x:c r="L60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5,055,500.00"&amp;UNICHAR(20803)&amp;UNICHAR(65307)&amp;UNICHAR(26368)&amp;UNICHAR(36817)&amp;UNICHAR(20132)&amp;UNICHAR(26131)&amp;"2025-12-22 08:24:10"&amp;UNICHAR(65307)&amp;UNICHAR(21516)&amp;UNICHAR(31038)&amp;UNICHAR(21306)&amp;"="&amp;UNICHAR(26159)&amp;UNICHAR(65307)&amp;UNICHAR(21452)&amp;UNICHAR(21521)&amp;UNICHAR(20851)&amp;UNICHAR(31995)&amp;"0"&amp;UNICHAR(26465)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2跳关系；路径累计9笔；累计绝对金额5,055,500.00元；最近交易2025-12-22 08:24:10；同社区=是；双向关系0条</x:v>
      </x:c>
      <x:c r="M60" s="34" t="str"/>
      <x:c r="N60" s="34" t="str"/>
      <x:c r="O60" s="34" t="str"/>
      <x:c r="P60" s="34" t="str"/>
      <x:c r="Q60" s="34" t="str"/>
      <x:c r="R60" s="34" t="str"/>
      <x:c r="S60" s="37" t="str"/>
    </x:row>
    <x:row r="61" ht="38" customHeight="1">
      <x:c r="A61" s="31" t="str">
        <x:v>LINK-028</x:v>
      </x:c>
      <x:c r="B61" s="31" t="str">
        <x:v>B</x:v>
      </x:c>
      <x:c r="C61" s="31" t="str">
        <x:v>A00022</x:v>
      </x:c>
      <x:c r="D61" s="31" t="str">
        <x:v>A00047</x:v>
      </x:c>
      <x:c r="E61" s="31" t="n">
        <x:v>2</x:v>
      </x:c>
      <x:c r="F61" s="31" t="str">
        <x:f>"A00022 "&amp;UNICHAR(8594)&amp;" A00091 "&amp;UNICHAR(8594)&amp;" A00047"</x:f>
        <x:v>A00022 → A00091 → A00047</x:v>
      </x:c>
      <x:c r="G61" s="31" t="n">
        <x:v>9</x:v>
      </x:c>
      <x:c r="H61" s="35" t="n">
        <x:v>5055500</x:v>
      </x:c>
      <x:c r="I61" s="36" t="str">
        <x:v>2025-12-22T08:24:10.000</x:v>
      </x:c>
      <x:c r="J61" s="31" t="str">
        <x:f>UNICHAR(26159)</x:f>
        <x:v>是</x:v>
      </x:c>
      <x:c r="K61" s="31" t="n">
        <x:v>0</x:v>
      </x:c>
      <x:c r="L61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5,055,500.00"&amp;UNICHAR(20803)&amp;UNICHAR(65307)&amp;UNICHAR(26368)&amp;UNICHAR(36817)&amp;UNICHAR(20132)&amp;UNICHAR(26131)&amp;"2025-12-22 08:24:10"&amp;UNICHAR(65307)&amp;UNICHAR(21516)&amp;UNICHAR(31038)&amp;UNICHAR(21306)&amp;"="&amp;UNICHAR(26159)&amp;UNICHAR(65307)&amp;UNICHAR(21452)&amp;UNICHAR(21521)&amp;UNICHAR(20851)&amp;UNICHAR(31995)&amp;"0"&amp;UNICHAR(26465)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2跳关系；路径累计9笔；累计绝对金额5,055,500.00元；最近交易2025-12-22 08:24:10；同社区=是；双向关系0条</x:v>
      </x:c>
      <x:c r="M61" s="34" t="str"/>
      <x:c r="N61" s="34" t="str"/>
      <x:c r="O61" s="34" t="str"/>
      <x:c r="P61" s="34" t="str"/>
      <x:c r="Q61" s="34" t="str"/>
      <x:c r="R61" s="34" t="str"/>
      <x:c r="S61" s="37" t="str"/>
    </x:row>
    <x:row r="62" ht="38" customHeight="1">
      <x:c r="A62" s="31" t="str">
        <x:v>LINK-029</x:v>
      </x:c>
      <x:c r="B62" s="31" t="str">
        <x:v>A</x:v>
      </x:c>
      <x:c r="C62" s="31" t="str">
        <x:v>A00004</x:v>
      </x:c>
      <x:c r="D62" s="31" t="str">
        <x:v>A00016</x:v>
      </x:c>
      <x:c r="E62" s="31" t="n">
        <x:v>3</x:v>
      </x:c>
      <x:c r="F62" s="31" t="str">
        <x:f>"A00004 "&amp;UNICHAR(8594)&amp;" A00079 "&amp;UNICHAR(8594)&amp;" A00032 "&amp;UNICHAR(8594)&amp;" A00016"</x:f>
        <x:v>A00004 → A00079 → A00032 → A00016</x:v>
      </x:c>
      <x:c r="G62" s="31" t="n">
        <x:v>412</x:v>
      </x:c>
      <x:c r="H62" s="35" t="n">
        <x:v>40070733.39</x:v>
      </x:c>
      <x:c r="I62" s="36" t="str">
        <x:v>2025-12-29T14:10:33.000</x:v>
      </x:c>
      <x:c r="J62" s="31" t="str">
        <x:f>UNICHAR(26159)</x:f>
        <x:v>是</x:v>
      </x:c>
      <x:c r="K62" s="31" t="n">
        <x:v>0</x:v>
      </x:c>
      <x:c r="L62" s="31" t="str">
        <x:f>"3"&amp;UNICHAR(36339)&amp;UNICHAR(20851)&amp;UNICHAR(31995)&amp;UNICHAR(65307)&amp;UNICHAR(36335)&amp;UNICHAR(24452)&amp;UNICHAR(32047)&amp;UNICHAR(35745)&amp;"412"&amp;UNICHAR(31508)&amp;UNICHAR(65307)&amp;UNICHAR(32047)&amp;UNICHAR(35745)&amp;UNICHAR(32477)&amp;UNICHAR(23545)&amp;UNICHAR(37329)&amp;UNICHAR(39069)&amp;"40,070,733.39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3跳关系；路径累计412笔；累计绝对金额40,070,733.39元；最近交易2025-12-29 14:10:33；同社区=是；双向关系0条</x:v>
      </x:c>
      <x:c r="M62" s="34" t="str"/>
      <x:c r="N62" s="34" t="str"/>
      <x:c r="O62" s="34" t="str"/>
      <x:c r="P62" s="34" t="str"/>
      <x:c r="Q62" s="34" t="str"/>
      <x:c r="R62" s="34" t="str"/>
      <x:c r="S62" s="37" t="str"/>
    </x:row>
    <x:row r="63" ht="38" customHeight="1">
      <x:c r="A63" s="31" t="str">
        <x:v>LINK-029</x:v>
      </x:c>
      <x:c r="B63" s="31" t="str">
        <x:v>B</x:v>
      </x:c>
      <x:c r="C63" s="31" t="str">
        <x:v>A00004</x:v>
      </x:c>
      <x:c r="D63" s="31" t="str">
        <x:v>A00016</x:v>
      </x:c>
      <x:c r="E63" s="31" t="n">
        <x:v>3</x:v>
      </x:c>
      <x:c r="F63" s="31" t="str">
        <x:f>"A00004 "&amp;UNICHAR(8594)&amp;" A00079 "&amp;UNICHAR(8594)&amp;" A00032 "&amp;UNICHAR(8594)&amp;" A00016"</x:f>
        <x:v>A00004 → A00079 → A00032 → A00016</x:v>
      </x:c>
      <x:c r="G63" s="31" t="n">
        <x:v>412</x:v>
      </x:c>
      <x:c r="H63" s="35" t="n">
        <x:v>40070733.39</x:v>
      </x:c>
      <x:c r="I63" s="36" t="str">
        <x:v>2025-12-29T14:10:33.000</x:v>
      </x:c>
      <x:c r="J63" s="31" t="str">
        <x:f>UNICHAR(26159)</x:f>
        <x:v>是</x:v>
      </x:c>
      <x:c r="K63" s="31" t="n">
        <x:v>0</x:v>
      </x:c>
      <x:c r="L63" s="31" t="str">
        <x:f>"3"&amp;UNICHAR(36339)&amp;UNICHAR(20851)&amp;UNICHAR(31995)&amp;UNICHAR(65307)&amp;UNICHAR(36335)&amp;UNICHAR(24452)&amp;UNICHAR(32047)&amp;UNICHAR(35745)&amp;"412"&amp;UNICHAR(31508)&amp;UNICHAR(65307)&amp;UNICHAR(32047)&amp;UNICHAR(35745)&amp;UNICHAR(32477)&amp;UNICHAR(23545)&amp;UNICHAR(37329)&amp;UNICHAR(39069)&amp;"40,070,733.39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3跳关系；路径累计412笔；累计绝对金额40,070,733.39元；最近交易2025-12-29 14:10:33；同社区=是；双向关系0条</x:v>
      </x:c>
      <x:c r="M63" s="34" t="str"/>
      <x:c r="N63" s="34" t="str"/>
      <x:c r="O63" s="34" t="str"/>
      <x:c r="P63" s="34" t="str"/>
      <x:c r="Q63" s="34" t="str"/>
      <x:c r="R63" s="34" t="str"/>
      <x:c r="S63" s="37" t="str"/>
    </x:row>
    <x:row r="64" ht="38" customHeight="1">
      <x:c r="A64" s="31" t="str">
        <x:v>LINK-030</x:v>
      </x:c>
      <x:c r="B64" s="31" t="str">
        <x:v>A</x:v>
      </x:c>
      <x:c r="C64" s="31" t="str">
        <x:v>A00045</x:v>
      </x:c>
      <x:c r="D64" s="31" t="str">
        <x:v>A00027</x:v>
      </x:c>
      <x:c r="E64" s="31" t="n">
        <x:v>3</x:v>
      </x:c>
      <x:c r="F64" s="31" t="str">
        <x:f>"A00045 "&amp;UNICHAR(8594)&amp;" A00074 "&amp;UNICHAR(8594)&amp;" A00056 "&amp;UNICHAR(8594)&amp;" A00027"</x:f>
        <x:v>A00045 → A00074 → A00056 → A00027</x:v>
      </x:c>
      <x:c r="G64" s="31" t="n">
        <x:v>285</x:v>
      </x:c>
      <x:c r="H64" s="35" t="n">
        <x:v>4744714641.3</x:v>
      </x:c>
      <x:c r="I64" s="36" t="str">
        <x:v>2025-12-31T15:32:57.000</x:v>
      </x:c>
      <x:c r="J64" s="31" t="str">
        <x:f>UNICHAR(26159)</x:f>
        <x:v>是</x:v>
      </x:c>
      <x:c r="K64" s="31" t="n">
        <x:v>3</x:v>
      </x:c>
      <x:c r="L64" s="31" t="str">
        <x:f>"3"&amp;UNICHAR(36339)&amp;UNICHAR(20851)&amp;UNICHAR(31995)&amp;UNICHAR(65307)&amp;UNICHAR(36335)&amp;UNICHAR(24452)&amp;UNICHAR(32047)&amp;UNICHAR(35745)&amp;"285"&amp;UNICHAR(31508)&amp;UNICHAR(65307)&amp;UNICHAR(32047)&amp;UNICHAR(35745)&amp;UNICHAR(32477)&amp;UNICHAR(23545)&amp;UNICHAR(37329)&amp;UNICHAR(39069)&amp;"4,744,714,641.30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3跳关系；路径累计285笔；累计绝对金额4,744,714,641.30元；最近交易2025-12-31 15:32:57；同社区=是；双向关系3条</x:v>
      </x:c>
      <x:c r="M64" s="34" t="str"/>
      <x:c r="N64" s="34" t="str"/>
      <x:c r="O64" s="34" t="str"/>
      <x:c r="P64" s="34" t="str"/>
      <x:c r="Q64" s="34" t="str"/>
      <x:c r="R64" s="34" t="str"/>
      <x:c r="S64" s="37" t="str"/>
    </x:row>
    <x:row r="65" ht="38" customHeight="1">
      <x:c r="A65" s="31" t="str">
        <x:v>LINK-030</x:v>
      </x:c>
      <x:c r="B65" s="31" t="str">
        <x:v>B</x:v>
      </x:c>
      <x:c r="C65" s="31" t="str">
        <x:v>A00045</x:v>
      </x:c>
      <x:c r="D65" s="31" t="str">
        <x:v>A00027</x:v>
      </x:c>
      <x:c r="E65" s="31" t="n">
        <x:v>3</x:v>
      </x:c>
      <x:c r="F65" s="31" t="str">
        <x:f>"A00045 "&amp;UNICHAR(8594)&amp;" A00074 "&amp;UNICHAR(8594)&amp;" A00056 "&amp;UNICHAR(8594)&amp;" A00027"</x:f>
        <x:v>A00045 → A00074 → A00056 → A00027</x:v>
      </x:c>
      <x:c r="G65" s="31" t="n">
        <x:v>285</x:v>
      </x:c>
      <x:c r="H65" s="35" t="n">
        <x:v>4744714641.3</x:v>
      </x:c>
      <x:c r="I65" s="36" t="str">
        <x:v>2025-12-31T15:32:57.000</x:v>
      </x:c>
      <x:c r="J65" s="31" t="str">
        <x:f>UNICHAR(26159)</x:f>
        <x:v>是</x:v>
      </x:c>
      <x:c r="K65" s="31" t="n">
        <x:v>3</x:v>
      </x:c>
      <x:c r="L65" s="31" t="str">
        <x:f>"3"&amp;UNICHAR(36339)&amp;UNICHAR(20851)&amp;UNICHAR(31995)&amp;UNICHAR(65307)&amp;UNICHAR(36335)&amp;UNICHAR(24452)&amp;UNICHAR(32047)&amp;UNICHAR(35745)&amp;"285"&amp;UNICHAR(31508)&amp;UNICHAR(65307)&amp;UNICHAR(32047)&amp;UNICHAR(35745)&amp;UNICHAR(32477)&amp;UNICHAR(23545)&amp;UNICHAR(37329)&amp;UNICHAR(39069)&amp;"4,744,714,641.30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3跳关系；路径累计285笔；累计绝对金额4,744,714,641.30元；最近交易2025-12-31 15:32:57；同社区=是；双向关系3条</x:v>
      </x:c>
      <x:c r="M65" s="34" t="str"/>
      <x:c r="N65" s="34" t="str"/>
      <x:c r="O65" s="34" t="str"/>
      <x:c r="P65" s="34" t="str"/>
      <x:c r="Q65" s="34" t="str"/>
      <x:c r="R65" s="34" t="str"/>
      <x:c r="S65" s="37" t="str"/>
    </x:row>
    <x:row r="66" ht="38" customHeight="1">
      <x:c r="A66" s="31" t="str">
        <x:v>LINK-031</x:v>
      </x:c>
      <x:c r="B66" s="31" t="str">
        <x:v>A</x:v>
      </x:c>
      <x:c r="C66" s="31" t="str">
        <x:v>A00078</x:v>
      </x:c>
      <x:c r="D66" s="31" t="str">
        <x:v>A00058</x:v>
      </x:c>
      <x:c r="E66" s="31" t="n">
        <x:v>2</x:v>
      </x:c>
      <x:c r="F66" s="31" t="str">
        <x:f>"A00078 "&amp;UNICHAR(8594)&amp;" A00012 "&amp;UNICHAR(8594)&amp;" A00058"</x:f>
        <x:v>A00078 → A00012 → A00058</x:v>
      </x:c>
      <x:c r="G66" s="31" t="n">
        <x:v>17</x:v>
      </x:c>
      <x:c r="H66" s="35" t="n">
        <x:v>3759799.52</x:v>
      </x:c>
      <x:c r="I66" s="36" t="str">
        <x:v>2025-12-25T15:03:36.000</x:v>
      </x:c>
      <x:c r="J66" s="31" t="str">
        <x:f>UNICHAR(26159)</x:f>
        <x:v>是</x:v>
      </x:c>
      <x:c r="K66" s="31" t="n">
        <x:v>0</x:v>
      </x:c>
      <x:c r="L66" s="31" t="str">
        <x:f>"2"&amp;UNICHAR(36339)&amp;UNICHAR(20851)&amp;UNICHAR(31995)&amp;UNICHAR(65307)&amp;UNICHAR(36335)&amp;UNICHAR(24452)&amp;UNICHAR(32047)&amp;UNICHAR(35745)&amp;"17"&amp;UNICHAR(31508)&amp;UNICHAR(65307)&amp;UNICHAR(32047)&amp;UNICHAR(35745)&amp;UNICHAR(32477)&amp;UNICHAR(23545)&amp;UNICHAR(37329)&amp;UNICHAR(39069)&amp;"3,759,799.52"&amp;UNICHAR(20803)&amp;UNICHAR(65307)&amp;UNICHAR(26368)&amp;UNICHAR(36817)&amp;UNICHAR(20132)&amp;UNICHAR(26131)&amp;"2025-12-25 15:03:36"&amp;UNICHAR(65307)&amp;UNICHAR(21516)&amp;UNICHAR(31038)&amp;UNICHAR(21306)&amp;"="&amp;UNICHAR(26159)&amp;UNICHAR(65307)&amp;UNICHAR(21452)&amp;UNICHAR(21521)&amp;UNICHAR(20851)&amp;UNICHAR(31995)&amp;"0"&amp;UNICHAR(26465)</x:f>
        <x:v>2跳关系；路径累计17笔；累计绝对金额3,759,799.52元；最近交易2025-12-25 15:03:36；同社区=是；双向关系0条</x:v>
      </x:c>
      <x:c r="M66" s="34" t="str"/>
      <x:c r="N66" s="34" t="str"/>
      <x:c r="O66" s="34" t="str"/>
      <x:c r="P66" s="34" t="str"/>
      <x:c r="Q66" s="34" t="str"/>
      <x:c r="R66" s="34" t="str"/>
      <x:c r="S66" s="37" t="str"/>
    </x:row>
    <x:row r="67" ht="38" customHeight="1">
      <x:c r="A67" s="31" t="str">
        <x:v>LINK-031</x:v>
      </x:c>
      <x:c r="B67" s="31" t="str">
        <x:v>B</x:v>
      </x:c>
      <x:c r="C67" s="31" t="str">
        <x:v>A00078</x:v>
      </x:c>
      <x:c r="D67" s="31" t="str">
        <x:v>A00058</x:v>
      </x:c>
      <x:c r="E67" s="31" t="n">
        <x:v>2</x:v>
      </x:c>
      <x:c r="F67" s="31" t="str">
        <x:f>"A00078 "&amp;UNICHAR(8594)&amp;" A00012 "&amp;UNICHAR(8594)&amp;" A00058"</x:f>
        <x:v>A00078 → A00012 → A00058</x:v>
      </x:c>
      <x:c r="G67" s="31" t="n">
        <x:v>17</x:v>
      </x:c>
      <x:c r="H67" s="35" t="n">
        <x:v>3759799.52</x:v>
      </x:c>
      <x:c r="I67" s="36" t="str">
        <x:v>2025-12-25T15:03:36.000</x:v>
      </x:c>
      <x:c r="J67" s="31" t="str">
        <x:f>UNICHAR(26159)</x:f>
        <x:v>是</x:v>
      </x:c>
      <x:c r="K67" s="31" t="n">
        <x:v>0</x:v>
      </x:c>
      <x:c r="L67" s="31" t="str">
        <x:f>"2"&amp;UNICHAR(36339)&amp;UNICHAR(20851)&amp;UNICHAR(31995)&amp;UNICHAR(65307)&amp;UNICHAR(36335)&amp;UNICHAR(24452)&amp;UNICHAR(32047)&amp;UNICHAR(35745)&amp;"17"&amp;UNICHAR(31508)&amp;UNICHAR(65307)&amp;UNICHAR(32047)&amp;UNICHAR(35745)&amp;UNICHAR(32477)&amp;UNICHAR(23545)&amp;UNICHAR(37329)&amp;UNICHAR(39069)&amp;"3,759,799.52"&amp;UNICHAR(20803)&amp;UNICHAR(65307)&amp;UNICHAR(26368)&amp;UNICHAR(36817)&amp;UNICHAR(20132)&amp;UNICHAR(26131)&amp;"2025-12-25 15:03:36"&amp;UNICHAR(65307)&amp;UNICHAR(21516)&amp;UNICHAR(31038)&amp;UNICHAR(21306)&amp;"="&amp;UNICHAR(26159)&amp;UNICHAR(65307)&amp;UNICHAR(21452)&amp;UNICHAR(21521)&amp;UNICHAR(20851)&amp;UNICHAR(31995)&amp;"0"&amp;UNICHAR(26465)</x:f>
        <x:v>2跳关系；路径累计17笔；累计绝对金额3,759,799.52元；最近交易2025-12-25 15:03:36；同社区=是；双向关系0条</x:v>
      </x:c>
      <x:c r="M67" s="34" t="str"/>
      <x:c r="N67" s="34" t="str"/>
      <x:c r="O67" s="34" t="str"/>
      <x:c r="P67" s="34" t="str"/>
      <x:c r="Q67" s="34" t="str"/>
      <x:c r="R67" s="34" t="str"/>
      <x:c r="S67" s="37" t="str"/>
    </x:row>
    <x:row r="68" ht="38" customHeight="1">
      <x:c r="A68" s="31" t="str">
        <x:v>LINK-032</x:v>
      </x:c>
      <x:c r="B68" s="31" t="str">
        <x:v>A</x:v>
      </x:c>
      <x:c r="C68" s="31" t="str">
        <x:v>A00045</x:v>
      </x:c>
      <x:c r="D68" s="31" t="str">
        <x:v>A00053</x:v>
      </x:c>
      <x:c r="E68" s="31" t="n">
        <x:v>3</x:v>
      </x:c>
      <x:c r="F68" s="31" t="str">
        <x:f>"A00045 "&amp;UNICHAR(8594)&amp;" A00074 "&amp;UNICHAR(8594)&amp;" A00056 "&amp;UNICHAR(8594)&amp;" A00053"</x:f>
        <x:v>A00045 → A00074 → A00056 → A00053</x:v>
      </x:c>
      <x:c r="G68" s="31" t="n">
        <x:v>218</x:v>
      </x:c>
      <x:c r="H68" s="35" t="n">
        <x:v>2890599335.54</x:v>
      </x:c>
      <x:c r="I68" s="36" t="str">
        <x:v>2025-12-31T15:32:57.000</x:v>
      </x:c>
      <x:c r="J68" s="31" t="str">
        <x:f>UNICHAR(26159)</x:f>
        <x:v>是</x:v>
      </x:c>
      <x:c r="K68" s="31" t="n">
        <x:v>2</x:v>
      </x:c>
      <x:c r="L68" s="31" t="str">
        <x:f>"3"&amp;UNICHAR(36339)&amp;UNICHAR(20851)&amp;UNICHAR(31995)&amp;UNICHAR(65307)&amp;UNICHAR(36335)&amp;UNICHAR(24452)&amp;UNICHAR(32047)&amp;UNICHAR(35745)&amp;"218"&amp;UNICHAR(31508)&amp;UNICHAR(65307)&amp;UNICHAR(32047)&amp;UNICHAR(35745)&amp;UNICHAR(32477)&amp;UNICHAR(23545)&amp;UNICHAR(37329)&amp;UNICHAR(39069)&amp;"2,890,599,335.54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3跳关系；路径累计218笔；累计绝对金额2,890,599,335.54元；最近交易2025-12-31 15:32:57；同社区=是；双向关系2条</x:v>
      </x:c>
      <x:c r="M68" s="34" t="str"/>
      <x:c r="N68" s="34" t="str"/>
      <x:c r="O68" s="34" t="str"/>
      <x:c r="P68" s="34" t="str"/>
      <x:c r="Q68" s="34" t="str"/>
      <x:c r="R68" s="34" t="str"/>
      <x:c r="S68" s="37" t="str"/>
    </x:row>
    <x:row r="69" ht="38" customHeight="1">
      <x:c r="A69" s="31" t="str">
        <x:v>LINK-032</x:v>
      </x:c>
      <x:c r="B69" s="31" t="str">
        <x:v>B</x:v>
      </x:c>
      <x:c r="C69" s="31" t="str">
        <x:v>A00045</x:v>
      </x:c>
      <x:c r="D69" s="31" t="str">
        <x:v>A00053</x:v>
      </x:c>
      <x:c r="E69" s="31" t="n">
        <x:v>3</x:v>
      </x:c>
      <x:c r="F69" s="31" t="str">
        <x:f>"A00045 "&amp;UNICHAR(8594)&amp;" A00074 "&amp;UNICHAR(8594)&amp;" A00056 "&amp;UNICHAR(8594)&amp;" A00053"</x:f>
        <x:v>A00045 → A00074 → A00056 → A00053</x:v>
      </x:c>
      <x:c r="G69" s="31" t="n">
        <x:v>218</x:v>
      </x:c>
      <x:c r="H69" s="35" t="n">
        <x:v>2890599335.54</x:v>
      </x:c>
      <x:c r="I69" s="36" t="str">
        <x:v>2025-12-31T15:32:57.000</x:v>
      </x:c>
      <x:c r="J69" s="31" t="str">
        <x:f>UNICHAR(26159)</x:f>
        <x:v>是</x:v>
      </x:c>
      <x:c r="K69" s="31" t="n">
        <x:v>2</x:v>
      </x:c>
      <x:c r="L69" s="31" t="str">
        <x:f>"3"&amp;UNICHAR(36339)&amp;UNICHAR(20851)&amp;UNICHAR(31995)&amp;UNICHAR(65307)&amp;UNICHAR(36335)&amp;UNICHAR(24452)&amp;UNICHAR(32047)&amp;UNICHAR(35745)&amp;"218"&amp;UNICHAR(31508)&amp;UNICHAR(65307)&amp;UNICHAR(32047)&amp;UNICHAR(35745)&amp;UNICHAR(32477)&amp;UNICHAR(23545)&amp;UNICHAR(37329)&amp;UNICHAR(39069)&amp;"2,890,599,335.54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3跳关系；路径累计218笔；累计绝对金额2,890,599,335.54元；最近交易2025-12-31 15:32:57；同社区=是；双向关系2条</x:v>
      </x:c>
      <x:c r="M69" s="34" t="str"/>
      <x:c r="N69" s="34" t="str"/>
      <x:c r="O69" s="34" t="str"/>
      <x:c r="P69" s="34" t="str"/>
      <x:c r="Q69" s="34" t="str"/>
      <x:c r="R69" s="34" t="str"/>
      <x:c r="S69" s="37" t="str"/>
    </x:row>
    <x:row r="70" ht="38" customHeight="1">
      <x:c r="A70" s="31" t="str">
        <x:v>LINK-033</x:v>
      </x:c>
      <x:c r="B70" s="31" t="str">
        <x:v>A</x:v>
      </x:c>
      <x:c r="C70" s="31" t="str">
        <x:v>A00004</x:v>
      </x:c>
      <x:c r="D70" s="31" t="str">
        <x:v>A00070</x:v>
      </x:c>
      <x:c r="E70" s="31" t="n">
        <x:v>3</x:v>
      </x:c>
      <x:c r="F70" s="31" t="str">
        <x:f>"A00004 "&amp;UNICHAR(8594)&amp;" A00079 "&amp;UNICHAR(8594)&amp;" A00032 "&amp;UNICHAR(8594)&amp;" A00070"</x:f>
        <x:v>A00004 → A00079 → A00032 → A00070</x:v>
      </x:c>
      <x:c r="G70" s="31" t="n">
        <x:v>395</x:v>
      </x:c>
      <x:c r="H70" s="35" t="n">
        <x:v>40280694.269999996</x:v>
      </x:c>
      <x:c r="I70" s="36" t="str">
        <x:v>2025-12-29T14:10:33.000</x:v>
      </x:c>
      <x:c r="J70" s="31" t="str">
        <x:f>UNICHAR(26159)</x:f>
        <x:v>是</x:v>
      </x:c>
      <x:c r="K70" s="31" t="n">
        <x:v>0</x:v>
      </x:c>
      <x:c r="L70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40,280,694.27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3跳关系；路径累计395笔；累计绝对金额40,280,694.27元；最近交易2025-12-29 14:10:33；同社区=是；双向关系0条</x:v>
      </x:c>
      <x:c r="M70" s="34" t="str"/>
      <x:c r="N70" s="34" t="str"/>
      <x:c r="O70" s="34" t="str"/>
      <x:c r="P70" s="34" t="str"/>
      <x:c r="Q70" s="34" t="str"/>
      <x:c r="R70" s="34" t="str"/>
      <x:c r="S70" s="37" t="str"/>
    </x:row>
    <x:row r="71" ht="38" customHeight="1">
      <x:c r="A71" s="31" t="str">
        <x:v>LINK-033</x:v>
      </x:c>
      <x:c r="B71" s="31" t="str">
        <x:v>B</x:v>
      </x:c>
      <x:c r="C71" s="31" t="str">
        <x:v>A00004</x:v>
      </x:c>
      <x:c r="D71" s="31" t="str">
        <x:v>A00070</x:v>
      </x:c>
      <x:c r="E71" s="31" t="n">
        <x:v>3</x:v>
      </x:c>
      <x:c r="F71" s="31" t="str">
        <x:f>"A00004 "&amp;UNICHAR(8594)&amp;" A00079 "&amp;UNICHAR(8594)&amp;" A00032 "&amp;UNICHAR(8594)&amp;" A00070"</x:f>
        <x:v>A00004 → A00079 → A00032 → A00070</x:v>
      </x:c>
      <x:c r="G71" s="31" t="n">
        <x:v>395</x:v>
      </x:c>
      <x:c r="H71" s="35" t="n">
        <x:v>40280694.269999996</x:v>
      </x:c>
      <x:c r="I71" s="36" t="str">
        <x:v>2025-12-29T14:10:33.000</x:v>
      </x:c>
      <x:c r="J71" s="31" t="str">
        <x:f>UNICHAR(26159)</x:f>
        <x:v>是</x:v>
      </x:c>
      <x:c r="K71" s="31" t="n">
        <x:v>0</x:v>
      </x:c>
      <x:c r="L71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40,280,694.27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3跳关系；路径累计395笔；累计绝对金额40,280,694.27元；最近交易2025-12-29 14:10:33；同社区=是；双向关系0条</x:v>
      </x:c>
      <x:c r="M71" s="34" t="str"/>
      <x:c r="N71" s="34" t="str"/>
      <x:c r="O71" s="34" t="str"/>
      <x:c r="P71" s="34" t="str"/>
      <x:c r="Q71" s="34" t="str"/>
      <x:c r="R71" s="34" t="str"/>
      <x:c r="S71" s="37" t="str"/>
    </x:row>
    <x:row r="72" ht="38" customHeight="1">
      <x:c r="A72" s="31" t="str">
        <x:v>LINK-034</x:v>
      </x:c>
      <x:c r="B72" s="31" t="str">
        <x:v>A</x:v>
      </x:c>
      <x:c r="C72" s="31" t="str">
        <x:v>A00045</x:v>
      </x:c>
      <x:c r="D72" s="31" t="str">
        <x:v>A00050</x:v>
      </x:c>
      <x:c r="E72" s="31" t="n">
        <x:v>2</x:v>
      </x:c>
      <x:c r="F72" s="31" t="str">
        <x:f>"A00045 "&amp;UNICHAR(8594)&amp;" A00074 "&amp;UNICHAR(8594)&amp;" A00050"</x:f>
        <x:v>A00045 → A00074 → A00050</x:v>
      </x:c>
      <x:c r="G72" s="31" t="n">
        <x:v>63</x:v>
      </x:c>
      <x:c r="H72" s="35" t="n">
        <x:v>63908480</x:v>
      </x:c>
      <x:c r="I72" s="36" t="str">
        <x:v>2025-12-30T15:29:42.000</x:v>
      </x:c>
      <x:c r="J72" s="31" t="str">
        <x:f>UNICHAR(26159)</x:f>
        <x:v>是</x:v>
      </x:c>
      <x:c r="K72" s="31" t="n">
        <x:v>2</x:v>
      </x:c>
      <x:c r="L72" s="31" t="str">
        <x:f>"2"&amp;UNICHAR(36339)&amp;UNICHAR(20851)&amp;UNICHAR(31995)&amp;UNICHAR(65307)&amp;UNICHAR(36335)&amp;UNICHAR(24452)&amp;UNICHAR(32047)&amp;UNICHAR(35745)&amp;"63"&amp;UNICHAR(31508)&amp;UNICHAR(65307)&amp;UNICHAR(32047)&amp;UNICHAR(35745)&amp;UNICHAR(32477)&amp;UNICHAR(23545)&amp;UNICHAR(37329)&amp;UNICHAR(39069)&amp;"63,908,480.00"&amp;UNICHAR(20803)&amp;UNICHAR(65307)&amp;UNICHAR(26368)&amp;UNICHAR(36817)&amp;UNICHAR(20132)&amp;UNICHAR(26131)&amp;"2025-12-30 15:29:42"&amp;UNICHAR(65307)&amp;UNICHAR(21516)&amp;UNICHAR(31038)&amp;UNICHAR(21306)&amp;"="&amp;UNICHAR(26159)&amp;UNICHAR(65307)&amp;UNICHAR(21452)&amp;UNICHAR(21521)&amp;UNICHAR(20851)&amp;UNICHAR(31995)&amp;"2"&amp;UNICHAR(26465)</x:f>
        <x:v>2跳关系；路径累计63笔；累计绝对金额63,908,480.00元；最近交易2025-12-30 15:29:42；同社区=是；双向关系2条</x:v>
      </x:c>
      <x:c r="M72" s="34" t="str"/>
      <x:c r="N72" s="34" t="str"/>
      <x:c r="O72" s="34" t="str"/>
      <x:c r="P72" s="34" t="str"/>
      <x:c r="Q72" s="34" t="str"/>
      <x:c r="R72" s="34" t="str"/>
      <x:c r="S72" s="37" t="str"/>
    </x:row>
    <x:row r="73" ht="38" customHeight="1">
      <x:c r="A73" s="31" t="str">
        <x:v>LINK-034</x:v>
      </x:c>
      <x:c r="B73" s="31" t="str">
        <x:v>B</x:v>
      </x:c>
      <x:c r="C73" s="31" t="str">
        <x:v>A00045</x:v>
      </x:c>
      <x:c r="D73" s="31" t="str">
        <x:v>A00050</x:v>
      </x:c>
      <x:c r="E73" s="31" t="n">
        <x:v>2</x:v>
      </x:c>
      <x:c r="F73" s="31" t="str">
        <x:f>"A00045 "&amp;UNICHAR(8594)&amp;" A00074 "&amp;UNICHAR(8594)&amp;" A00050"</x:f>
        <x:v>A00045 → A00074 → A00050</x:v>
      </x:c>
      <x:c r="G73" s="31" t="n">
        <x:v>63</x:v>
      </x:c>
      <x:c r="H73" s="35" t="n">
        <x:v>63908480</x:v>
      </x:c>
      <x:c r="I73" s="36" t="str">
        <x:v>2025-12-30T15:29:42.000</x:v>
      </x:c>
      <x:c r="J73" s="31" t="str">
        <x:f>UNICHAR(26159)</x:f>
        <x:v>是</x:v>
      </x:c>
      <x:c r="K73" s="31" t="n">
        <x:v>2</x:v>
      </x:c>
      <x:c r="L73" s="31" t="str">
        <x:f>"2"&amp;UNICHAR(36339)&amp;UNICHAR(20851)&amp;UNICHAR(31995)&amp;UNICHAR(65307)&amp;UNICHAR(36335)&amp;UNICHAR(24452)&amp;UNICHAR(32047)&amp;UNICHAR(35745)&amp;"63"&amp;UNICHAR(31508)&amp;UNICHAR(65307)&amp;UNICHAR(32047)&amp;UNICHAR(35745)&amp;UNICHAR(32477)&amp;UNICHAR(23545)&amp;UNICHAR(37329)&amp;UNICHAR(39069)&amp;"63,908,480.00"&amp;UNICHAR(20803)&amp;UNICHAR(65307)&amp;UNICHAR(26368)&amp;UNICHAR(36817)&amp;UNICHAR(20132)&amp;UNICHAR(26131)&amp;"2025-12-30 15:29:42"&amp;UNICHAR(65307)&amp;UNICHAR(21516)&amp;UNICHAR(31038)&amp;UNICHAR(21306)&amp;"="&amp;UNICHAR(26159)&amp;UNICHAR(65307)&amp;UNICHAR(21452)&amp;UNICHAR(21521)&amp;UNICHAR(20851)&amp;UNICHAR(31995)&amp;"2"&amp;UNICHAR(26465)</x:f>
        <x:v>2跳关系；路径累计63笔；累计绝对金额63,908,480.00元；最近交易2025-12-30 15:29:42；同社区=是；双向关系2条</x:v>
      </x:c>
      <x:c r="M73" s="34" t="str"/>
      <x:c r="N73" s="34" t="str"/>
      <x:c r="O73" s="34" t="str"/>
      <x:c r="P73" s="34" t="str"/>
      <x:c r="Q73" s="34" t="str"/>
      <x:c r="R73" s="34" t="str"/>
      <x:c r="S73" s="37" t="str"/>
    </x:row>
    <x:row r="74" ht="38" customHeight="1">
      <x:c r="A74" s="31" t="str">
        <x:v>LINK-035</x:v>
      </x:c>
      <x:c r="B74" s="31" t="str">
        <x:v>A</x:v>
      </x:c>
      <x:c r="C74" s="31" t="str">
        <x:v>A00045</x:v>
      </x:c>
      <x:c r="D74" s="31" t="str">
        <x:v>A00024</x:v>
      </x:c>
      <x:c r="E74" s="31" t="n">
        <x:v>3</x:v>
      </x:c>
      <x:c r="F74" s="31" t="str">
        <x:f>"A00045 "&amp;UNICHAR(8594)&amp;" A00074 "&amp;UNICHAR(8594)&amp;" A00056 "&amp;UNICHAR(8594)&amp;" A00024"</x:f>
        <x:v>A00045 → A00074 → A00056 → A00024</x:v>
      </x:c>
      <x:c r="G74" s="31" t="n">
        <x:v>278</x:v>
      </x:c>
      <x:c r="H74" s="35" t="n">
        <x:v>2584751803.25</x:v>
      </x:c>
      <x:c r="I74" s="36" t="str">
        <x:v>2025-12-31T15:32:57.000</x:v>
      </x:c>
      <x:c r="J74" s="31" t="str">
        <x:f>UNICHAR(26159)</x:f>
        <x:v>是</x:v>
      </x:c>
      <x:c r="K74" s="31" t="n">
        <x:v>3</x:v>
      </x:c>
      <x:c r="L74" s="31" t="str">
        <x:f>"3"&amp;UNICHAR(36339)&amp;UNICHAR(20851)&amp;UNICHAR(31995)&amp;UNICHAR(65307)&amp;UNICHAR(36335)&amp;UNICHAR(24452)&amp;UNICHAR(32047)&amp;UNICHAR(35745)&amp;"278"&amp;UNICHAR(31508)&amp;UNICHAR(65307)&amp;UNICHAR(32047)&amp;UNICHAR(35745)&amp;UNICHAR(32477)&amp;UNICHAR(23545)&amp;UNICHAR(37329)&amp;UNICHAR(39069)&amp;"2,584,751,803.25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3跳关系；路径累计278笔；累计绝对金额2,584,751,803.25元；最近交易2025-12-31 15:32:57；同社区=是；双向关系3条</x:v>
      </x:c>
      <x:c r="M74" s="34" t="str"/>
      <x:c r="N74" s="34" t="str"/>
      <x:c r="O74" s="34" t="str"/>
      <x:c r="P74" s="34" t="str"/>
      <x:c r="Q74" s="34" t="str"/>
      <x:c r="R74" s="34" t="str"/>
      <x:c r="S74" s="37" t="str"/>
    </x:row>
    <x:row r="75" ht="38" customHeight="1">
      <x:c r="A75" s="31" t="str">
        <x:v>LINK-035</x:v>
      </x:c>
      <x:c r="B75" s="31" t="str">
        <x:v>B</x:v>
      </x:c>
      <x:c r="C75" s="31" t="str">
        <x:v>A00045</x:v>
      </x:c>
      <x:c r="D75" s="31" t="str">
        <x:v>A00024</x:v>
      </x:c>
      <x:c r="E75" s="31" t="n">
        <x:v>3</x:v>
      </x:c>
      <x:c r="F75" s="31" t="str">
        <x:f>"A00045 "&amp;UNICHAR(8594)&amp;" A00074 "&amp;UNICHAR(8594)&amp;" A00056 "&amp;UNICHAR(8594)&amp;" A00024"</x:f>
        <x:v>A00045 → A00074 → A00056 → A00024</x:v>
      </x:c>
      <x:c r="G75" s="31" t="n">
        <x:v>278</x:v>
      </x:c>
      <x:c r="H75" s="35" t="n">
        <x:v>2584751803.25</x:v>
      </x:c>
      <x:c r="I75" s="36" t="str">
        <x:v>2025-12-31T15:32:57.000</x:v>
      </x:c>
      <x:c r="J75" s="31" t="str">
        <x:f>UNICHAR(26159)</x:f>
        <x:v>是</x:v>
      </x:c>
      <x:c r="K75" s="31" t="n">
        <x:v>3</x:v>
      </x:c>
      <x:c r="L75" s="31" t="str">
        <x:f>"3"&amp;UNICHAR(36339)&amp;UNICHAR(20851)&amp;UNICHAR(31995)&amp;UNICHAR(65307)&amp;UNICHAR(36335)&amp;UNICHAR(24452)&amp;UNICHAR(32047)&amp;UNICHAR(35745)&amp;"278"&amp;UNICHAR(31508)&amp;UNICHAR(65307)&amp;UNICHAR(32047)&amp;UNICHAR(35745)&amp;UNICHAR(32477)&amp;UNICHAR(23545)&amp;UNICHAR(37329)&amp;UNICHAR(39069)&amp;"2,584,751,803.25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3跳关系；路径累计278笔；累计绝对金额2,584,751,803.25元；最近交易2025-12-31 15:32:57；同社区=是；双向关系3条</x:v>
      </x:c>
      <x:c r="M75" s="34" t="str"/>
      <x:c r="N75" s="34" t="str"/>
      <x:c r="O75" s="34" t="str"/>
      <x:c r="P75" s="34" t="str"/>
      <x:c r="Q75" s="34" t="str"/>
      <x:c r="R75" s="34" t="str"/>
      <x:c r="S75" s="37" t="str"/>
    </x:row>
    <x:row r="76" ht="38" customHeight="1">
      <x:c r="A76" s="31" t="str">
        <x:v>LINK-036</x:v>
      </x:c>
      <x:c r="B76" s="31" t="str">
        <x:v>A</x:v>
      </x:c>
      <x:c r="C76" s="31" t="str">
        <x:v>A00078</x:v>
      </x:c>
      <x:c r="D76" s="31" t="str">
        <x:v>A00051</x:v>
      </x:c>
      <x:c r="E76" s="31" t="n">
        <x:v>2</x:v>
      </x:c>
      <x:c r="F76" s="31" t="str">
        <x:f>"A00078 "&amp;UNICHAR(8594)&amp;" A00012 "&amp;UNICHAR(8594)&amp;" A00051"</x:f>
        <x:v>A00078 → A00012 → A00051</x:v>
      </x:c>
      <x:c r="G76" s="31" t="n">
        <x:v>43</x:v>
      </x:c>
      <x:c r="H76" s="35" t="n">
        <x:v>620840.87</x:v>
      </x:c>
      <x:c r="I76" s="36" t="str">
        <x:v>2025-12-26T14:00:02.000</x:v>
      </x:c>
      <x:c r="J76" s="31" t="str">
        <x:f>UNICHAR(26159)</x:f>
        <x:v>是</x:v>
      </x:c>
      <x:c r="K76" s="31" t="n">
        <x:v>1</x:v>
      </x:c>
      <x:c r="L76" s="31" t="str">
        <x:f>"2"&amp;UNICHAR(36339)&amp;UNICHAR(20851)&amp;UNICHAR(31995)&amp;UNICHAR(65307)&amp;UNICHAR(36335)&amp;UNICHAR(24452)&amp;UNICHAR(32047)&amp;UNICHAR(35745)&amp;"43"&amp;UNICHAR(31508)&amp;UNICHAR(65307)&amp;UNICHAR(32047)&amp;UNICHAR(35745)&amp;UNICHAR(32477)&amp;UNICHAR(23545)&amp;UNICHAR(37329)&amp;UNICHAR(39069)&amp;"620,840.87"&amp;UNICHAR(20803)&amp;UNICHAR(65307)&amp;UNICHAR(26368)&amp;UNICHAR(36817)&amp;UNICHAR(20132)&amp;UNICHAR(26131)&amp;"2025-12-26 14:00:02"&amp;UNICHAR(65307)&amp;UNICHAR(21516)&amp;UNICHAR(31038)&amp;UNICHAR(21306)&amp;"="&amp;UNICHAR(26159)&amp;UNICHAR(65307)&amp;UNICHAR(21452)&amp;UNICHAR(21521)&amp;UNICHAR(20851)&amp;UNICHAR(31995)&amp;"1"&amp;UNICHAR(26465)</x:f>
        <x:v>2跳关系；路径累计43笔；累计绝对金额620,840.87元；最近交易2025-12-26 14:00:02；同社区=是；双向关系1条</x:v>
      </x:c>
      <x:c r="M76" s="34" t="str"/>
      <x:c r="N76" s="34" t="str"/>
      <x:c r="O76" s="34" t="str"/>
      <x:c r="P76" s="34" t="str"/>
      <x:c r="Q76" s="34" t="str"/>
      <x:c r="R76" s="34" t="str"/>
      <x:c r="S76" s="37" t="str"/>
    </x:row>
    <x:row r="77" ht="38" customHeight="1">
      <x:c r="A77" s="31" t="str">
        <x:v>LINK-036</x:v>
      </x:c>
      <x:c r="B77" s="31" t="str">
        <x:v>B</x:v>
      </x:c>
      <x:c r="C77" s="31" t="str">
        <x:v>A00078</x:v>
      </x:c>
      <x:c r="D77" s="31" t="str">
        <x:v>A00051</x:v>
      </x:c>
      <x:c r="E77" s="31" t="n">
        <x:v>2</x:v>
      </x:c>
      <x:c r="F77" s="31" t="str">
        <x:f>"A00078 "&amp;UNICHAR(8594)&amp;" A00012 "&amp;UNICHAR(8594)&amp;" A00051"</x:f>
        <x:v>A00078 → A00012 → A00051</x:v>
      </x:c>
      <x:c r="G77" s="31" t="n">
        <x:v>43</x:v>
      </x:c>
      <x:c r="H77" s="35" t="n">
        <x:v>620840.87</x:v>
      </x:c>
      <x:c r="I77" s="36" t="str">
        <x:v>2025-12-26T14:00:02.000</x:v>
      </x:c>
      <x:c r="J77" s="31" t="str">
        <x:f>UNICHAR(26159)</x:f>
        <x:v>是</x:v>
      </x:c>
      <x:c r="K77" s="31" t="n">
        <x:v>1</x:v>
      </x:c>
      <x:c r="L77" s="31" t="str">
        <x:f>"2"&amp;UNICHAR(36339)&amp;UNICHAR(20851)&amp;UNICHAR(31995)&amp;UNICHAR(65307)&amp;UNICHAR(36335)&amp;UNICHAR(24452)&amp;UNICHAR(32047)&amp;UNICHAR(35745)&amp;"43"&amp;UNICHAR(31508)&amp;UNICHAR(65307)&amp;UNICHAR(32047)&amp;UNICHAR(35745)&amp;UNICHAR(32477)&amp;UNICHAR(23545)&amp;UNICHAR(37329)&amp;UNICHAR(39069)&amp;"620,840.87"&amp;UNICHAR(20803)&amp;UNICHAR(65307)&amp;UNICHAR(26368)&amp;UNICHAR(36817)&amp;UNICHAR(20132)&amp;UNICHAR(26131)&amp;"2025-12-26 14:00:02"&amp;UNICHAR(65307)&amp;UNICHAR(21516)&amp;UNICHAR(31038)&amp;UNICHAR(21306)&amp;"="&amp;UNICHAR(26159)&amp;UNICHAR(65307)&amp;UNICHAR(21452)&amp;UNICHAR(21521)&amp;UNICHAR(20851)&amp;UNICHAR(31995)&amp;"1"&amp;UNICHAR(26465)</x:f>
        <x:v>2跳关系；路径累计43笔；累计绝对金额620,840.87元；最近交易2025-12-26 14:00:02；同社区=是；双向关系1条</x:v>
      </x:c>
      <x:c r="M77" s="34" t="str"/>
      <x:c r="N77" s="34" t="str"/>
      <x:c r="O77" s="34" t="str"/>
      <x:c r="P77" s="34" t="str"/>
      <x:c r="Q77" s="34" t="str"/>
      <x:c r="R77" s="34" t="str"/>
      <x:c r="S77" s="37" t="str"/>
    </x:row>
    <x:row r="78" ht="38" customHeight="1">
      <x:c r="A78" s="31" t="str">
        <x:v>LINK-037</x:v>
      </x:c>
      <x:c r="B78" s="31" t="str">
        <x:v>A</x:v>
      </x:c>
      <x:c r="C78" s="31" t="str">
        <x:v>A00004</x:v>
      </x:c>
      <x:c r="D78" s="31" t="str">
        <x:v>A00013</x:v>
      </x:c>
      <x:c r="E78" s="31" t="n">
        <x:v>3</x:v>
      </x:c>
      <x:c r="F78" s="31" t="str">
        <x:f>"A00004 "&amp;UNICHAR(8594)&amp;" A00079 "&amp;UNICHAR(8594)&amp;" A00032 "&amp;UNICHAR(8594)&amp;" A00013"</x:f>
        <x:v>A00004 → A00079 → A00032 → A00013</x:v>
      </x:c>
      <x:c r="G78" s="31" t="n">
        <x:v>395</x:v>
      </x:c>
      <x:c r="H78" s="35" t="n">
        <x:v>39897137.05</x:v>
      </x:c>
      <x:c r="I78" s="36" t="str">
        <x:v>2025-12-29T14:10:33.000</x:v>
      </x:c>
      <x:c r="J78" s="31" t="str">
        <x:f>UNICHAR(26159)</x:f>
        <x:v>是</x:v>
      </x:c>
      <x:c r="K78" s="31" t="n">
        <x:v>0</x:v>
      </x:c>
      <x:c r="L78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39,897,137.05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3跳关系；路径累计395笔；累计绝对金额39,897,137.05元；最近交易2025-12-29 14:10:33；同社区=是；双向关系0条</x:v>
      </x:c>
      <x:c r="M78" s="34" t="str"/>
      <x:c r="N78" s="34" t="str"/>
      <x:c r="O78" s="34" t="str"/>
      <x:c r="P78" s="34" t="str"/>
      <x:c r="Q78" s="34" t="str"/>
      <x:c r="R78" s="34" t="str"/>
      <x:c r="S78" s="37" t="str"/>
    </x:row>
    <x:row r="79" ht="38" customHeight="1">
      <x:c r="A79" s="31" t="str">
        <x:v>LINK-037</x:v>
      </x:c>
      <x:c r="B79" s="31" t="str">
        <x:v>B</x:v>
      </x:c>
      <x:c r="C79" s="31" t="str">
        <x:v>A00004</x:v>
      </x:c>
      <x:c r="D79" s="31" t="str">
        <x:v>A00013</x:v>
      </x:c>
      <x:c r="E79" s="31" t="n">
        <x:v>3</x:v>
      </x:c>
      <x:c r="F79" s="31" t="str">
        <x:f>"A00004 "&amp;UNICHAR(8594)&amp;" A00079 "&amp;UNICHAR(8594)&amp;" A00032 "&amp;UNICHAR(8594)&amp;" A00013"</x:f>
        <x:v>A00004 → A00079 → A00032 → A00013</x:v>
      </x:c>
      <x:c r="G79" s="31" t="n">
        <x:v>395</x:v>
      </x:c>
      <x:c r="H79" s="35" t="n">
        <x:v>39897137.05</x:v>
      </x:c>
      <x:c r="I79" s="36" t="str">
        <x:v>2025-12-29T14:10:33.000</x:v>
      </x:c>
      <x:c r="J79" s="31" t="str">
        <x:f>UNICHAR(26159)</x:f>
        <x:v>是</x:v>
      </x:c>
      <x:c r="K79" s="31" t="n">
        <x:v>0</x:v>
      </x:c>
      <x:c r="L79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39,897,137.05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3跳关系；路径累计395笔；累计绝对金额39,897,137.05元；最近交易2025-12-29 14:10:33；同社区=是；双向关系0条</x:v>
      </x:c>
      <x:c r="M79" s="34" t="str"/>
      <x:c r="N79" s="34" t="str"/>
      <x:c r="O79" s="34" t="str"/>
      <x:c r="P79" s="34" t="str"/>
      <x:c r="Q79" s="34" t="str"/>
      <x:c r="R79" s="34" t="str"/>
      <x:c r="S79" s="37" t="str"/>
    </x:row>
    <x:row r="80" ht="38" customHeight="1">
      <x:c r="A80" s="31" t="str">
        <x:v>LINK-038</x:v>
      </x:c>
      <x:c r="B80" s="31" t="str">
        <x:v>A</x:v>
      </x:c>
      <x:c r="C80" s="31" t="str">
        <x:v>A00004</x:v>
      </x:c>
      <x:c r="D80" s="31" t="str">
        <x:v>A00041</x:v>
      </x:c>
      <x:c r="E80" s="31" t="n">
        <x:v>3</x:v>
      </x:c>
      <x:c r="F80" s="31" t="str">
        <x:f>"A00004 "&amp;UNICHAR(8594)&amp;" A00079 "&amp;UNICHAR(8594)&amp;" A00032 "&amp;UNICHAR(8594)&amp;" A00041"</x:f>
        <x:v>A00004 → A00079 → A00032 → A00041</x:v>
      </x:c>
      <x:c r="G80" s="31" t="n">
        <x:v>394</x:v>
      </x:c>
      <x:c r="H80" s="35" t="n">
        <x:v>40088794.61</x:v>
      </x:c>
      <x:c r="I80" s="36" t="str">
        <x:v>2025-12-29T14:10:33.000</x:v>
      </x:c>
      <x:c r="J80" s="31" t="str">
        <x:f>UNICHAR(26159)</x:f>
        <x:v>是</x:v>
      </x:c>
      <x:c r="K80" s="31" t="n">
        <x:v>0</x:v>
      </x:c>
      <x:c r="L80" s="31" t="str">
        <x:f>"3"&amp;UNICHAR(36339)&amp;UNICHAR(20851)&amp;UNICHAR(31995)&amp;UNICHAR(65307)&amp;UNICHAR(36335)&amp;UNICHAR(24452)&amp;UNICHAR(32047)&amp;UNICHAR(35745)&amp;"394"&amp;UNICHAR(31508)&amp;UNICHAR(65307)&amp;UNICHAR(32047)&amp;UNICHAR(35745)&amp;UNICHAR(32477)&amp;UNICHAR(23545)&amp;UNICHAR(37329)&amp;UNICHAR(39069)&amp;"40,088,794.61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3跳关系；路径累计394笔；累计绝对金额40,088,794.61元；最近交易2025-12-29 14:10:33；同社区=是；双向关系0条</x:v>
      </x:c>
      <x:c r="M80" s="34" t="str"/>
      <x:c r="N80" s="34" t="str"/>
      <x:c r="O80" s="34" t="str"/>
      <x:c r="P80" s="34" t="str"/>
      <x:c r="Q80" s="34" t="str"/>
      <x:c r="R80" s="34" t="str"/>
      <x:c r="S80" s="37" t="str"/>
    </x:row>
    <x:row r="81" ht="38" customHeight="1">
      <x:c r="A81" s="31" t="str">
        <x:v>LINK-038</x:v>
      </x:c>
      <x:c r="B81" s="31" t="str">
        <x:v>B</x:v>
      </x:c>
      <x:c r="C81" s="31" t="str">
        <x:v>A00004</x:v>
      </x:c>
      <x:c r="D81" s="31" t="str">
        <x:v>A00041</x:v>
      </x:c>
      <x:c r="E81" s="31" t="n">
        <x:v>3</x:v>
      </x:c>
      <x:c r="F81" s="31" t="str">
        <x:f>"A00004 "&amp;UNICHAR(8594)&amp;" A00079 "&amp;UNICHAR(8594)&amp;" A00032 "&amp;UNICHAR(8594)&amp;" A00041"</x:f>
        <x:v>A00004 → A00079 → A00032 → A00041</x:v>
      </x:c>
      <x:c r="G81" s="31" t="n">
        <x:v>394</x:v>
      </x:c>
      <x:c r="H81" s="35" t="n">
        <x:v>40088794.61</x:v>
      </x:c>
      <x:c r="I81" s="36" t="str">
        <x:v>2025-12-29T14:10:33.000</x:v>
      </x:c>
      <x:c r="J81" s="31" t="str">
        <x:f>UNICHAR(26159)</x:f>
        <x:v>是</x:v>
      </x:c>
      <x:c r="K81" s="31" t="n">
        <x:v>0</x:v>
      </x:c>
      <x:c r="L81" s="31" t="str">
        <x:f>"3"&amp;UNICHAR(36339)&amp;UNICHAR(20851)&amp;UNICHAR(31995)&amp;UNICHAR(65307)&amp;UNICHAR(36335)&amp;UNICHAR(24452)&amp;UNICHAR(32047)&amp;UNICHAR(35745)&amp;"394"&amp;UNICHAR(31508)&amp;UNICHAR(65307)&amp;UNICHAR(32047)&amp;UNICHAR(35745)&amp;UNICHAR(32477)&amp;UNICHAR(23545)&amp;UNICHAR(37329)&amp;UNICHAR(39069)&amp;"40,088,794.61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3跳关系；路径累计394笔；累计绝对金额40,088,794.61元；最近交易2025-12-29 14:10:33；同社区=是；双向关系0条</x:v>
      </x:c>
      <x:c r="M81" s="34" t="str"/>
      <x:c r="N81" s="34" t="str"/>
      <x:c r="O81" s="34" t="str"/>
      <x:c r="P81" s="34" t="str"/>
      <x:c r="Q81" s="34" t="str"/>
      <x:c r="R81" s="34" t="str"/>
      <x:c r="S81" s="37" t="str"/>
    </x:row>
    <x:row r="82" ht="38" customHeight="1">
      <x:c r="A82" s="31" t="str">
        <x:v>LINK-039</x:v>
      </x:c>
      <x:c r="B82" s="31" t="str">
        <x:v>A</x:v>
      </x:c>
      <x:c r="C82" s="31" t="str">
        <x:v>A00045</x:v>
      </x:c>
      <x:c r="D82" s="31" t="str">
        <x:v>A00057</x:v>
      </x:c>
      <x:c r="E82" s="31" t="n">
        <x:v>3</x:v>
      </x:c>
      <x:c r="F82" s="31" t="str">
        <x:f>"A00045 "&amp;UNICHAR(8594)&amp;" A00074 "&amp;UNICHAR(8594)&amp;" A00056 "&amp;UNICHAR(8594)&amp;" A00057"</x:f>
        <x:v>A00045 → A00074 → A00056 → A00057</x:v>
      </x:c>
      <x:c r="G82" s="31" t="n">
        <x:v>264</x:v>
      </x:c>
      <x:c r="H82" s="35" t="n">
        <x:v>2783837959.94</x:v>
      </x:c>
      <x:c r="I82" s="36" t="str">
        <x:v>2025-12-31T15:32:57.000</x:v>
      </x:c>
      <x:c r="J82" s="31" t="str">
        <x:f>UNICHAR(26159)</x:f>
        <x:v>是</x:v>
      </x:c>
      <x:c r="K82" s="31" t="n">
        <x:v>2</x:v>
      </x:c>
      <x:c r="L82" s="31" t="str">
        <x:f>"3"&amp;UNICHAR(36339)&amp;UNICHAR(20851)&amp;UNICHAR(31995)&amp;UNICHAR(65307)&amp;UNICHAR(36335)&amp;UNICHAR(24452)&amp;UNICHAR(32047)&amp;UNICHAR(35745)&amp;"264"&amp;UNICHAR(31508)&amp;UNICHAR(65307)&amp;UNICHAR(32047)&amp;UNICHAR(35745)&amp;UNICHAR(32477)&amp;UNICHAR(23545)&amp;UNICHAR(37329)&amp;UNICHAR(39069)&amp;"2,783,837,959.94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3跳关系；路径累计264笔；累计绝对金额2,783,837,959.94元；最近交易2025-12-31 15:32:57；同社区=是；双向关系2条</x:v>
      </x:c>
      <x:c r="M82" s="34" t="str"/>
      <x:c r="N82" s="34" t="str"/>
      <x:c r="O82" s="34" t="str"/>
      <x:c r="P82" s="34" t="str"/>
      <x:c r="Q82" s="34" t="str"/>
      <x:c r="R82" s="34" t="str"/>
      <x:c r="S82" s="37" t="str"/>
    </x:row>
    <x:row r="83" ht="38" customHeight="1">
      <x:c r="A83" s="31" t="str">
        <x:v>LINK-039</x:v>
      </x:c>
      <x:c r="B83" s="31" t="str">
        <x:v>B</x:v>
      </x:c>
      <x:c r="C83" s="31" t="str">
        <x:v>A00045</x:v>
      </x:c>
      <x:c r="D83" s="31" t="str">
        <x:v>A00057</x:v>
      </x:c>
      <x:c r="E83" s="31" t="n">
        <x:v>3</x:v>
      </x:c>
      <x:c r="F83" s="31" t="str">
        <x:f>"A00045 "&amp;UNICHAR(8594)&amp;" A00074 "&amp;UNICHAR(8594)&amp;" A00056 "&amp;UNICHAR(8594)&amp;" A00057"</x:f>
        <x:v>A00045 → A00074 → A00056 → A00057</x:v>
      </x:c>
      <x:c r="G83" s="31" t="n">
        <x:v>264</x:v>
      </x:c>
      <x:c r="H83" s="35" t="n">
        <x:v>2783837959.94</x:v>
      </x:c>
      <x:c r="I83" s="36" t="str">
        <x:v>2025-12-31T15:32:57.000</x:v>
      </x:c>
      <x:c r="J83" s="31" t="str">
        <x:f>UNICHAR(26159)</x:f>
        <x:v>是</x:v>
      </x:c>
      <x:c r="K83" s="31" t="n">
        <x:v>2</x:v>
      </x:c>
      <x:c r="L83" s="31" t="str">
        <x:f>"3"&amp;UNICHAR(36339)&amp;UNICHAR(20851)&amp;UNICHAR(31995)&amp;UNICHAR(65307)&amp;UNICHAR(36335)&amp;UNICHAR(24452)&amp;UNICHAR(32047)&amp;UNICHAR(35745)&amp;"264"&amp;UNICHAR(31508)&amp;UNICHAR(65307)&amp;UNICHAR(32047)&amp;UNICHAR(35745)&amp;UNICHAR(32477)&amp;UNICHAR(23545)&amp;UNICHAR(37329)&amp;UNICHAR(39069)&amp;"2,783,837,959.94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3跳关系；路径累计264笔；累计绝对金额2,783,837,959.94元；最近交易2025-12-31 15:32:57；同社区=是；双向关系2条</x:v>
      </x:c>
      <x:c r="M83" s="34" t="str"/>
      <x:c r="N83" s="34" t="str"/>
      <x:c r="O83" s="34" t="str"/>
      <x:c r="P83" s="34" t="str"/>
      <x:c r="Q83" s="34" t="str"/>
      <x:c r="R83" s="34" t="str"/>
      <x:c r="S83" s="37" t="str"/>
    </x:row>
    <x:row r="84" ht="38" customHeight="1">
      <x:c r="A84" s="31" t="str">
        <x:v>LINK-040</x:v>
      </x:c>
      <x:c r="B84" s="31" t="str">
        <x:v>A</x:v>
      </x:c>
      <x:c r="C84" s="31" t="str">
        <x:v>A00004</x:v>
      </x:c>
      <x:c r="D84" s="31" t="str">
        <x:v>A00026</x:v>
      </x:c>
      <x:c r="E84" s="31" t="n">
        <x:v>3</x:v>
      </x:c>
      <x:c r="F84" s="31" t="str">
        <x:f>"A00004 "&amp;UNICHAR(8594)&amp;" A00079 "&amp;UNICHAR(8594)&amp;" A00032 "&amp;UNICHAR(8594)&amp;" A00026"</x:f>
        <x:v>A00004 → A00079 → A00032 → A00026</x:v>
      </x:c>
      <x:c r="G84" s="31" t="n">
        <x:v>402</x:v>
      </x:c>
      <x:c r="H84" s="35" t="n">
        <x:v>39714714.19</x:v>
      </x:c>
      <x:c r="I84" s="36" t="str">
        <x:v>2025-12-29T14:10:33.000</x:v>
      </x:c>
      <x:c r="J84" s="31" t="str">
        <x:f>UNICHAR(26159)</x:f>
        <x:v>是</x:v>
      </x:c>
      <x:c r="K84" s="31" t="n">
        <x:v>0</x:v>
      </x:c>
      <x:c r="L84" s="31" t="str">
        <x:f>"3"&amp;UNICHAR(36339)&amp;UNICHAR(20851)&amp;UNICHAR(31995)&amp;UNICHAR(65307)&amp;UNICHAR(36335)&amp;UNICHAR(24452)&amp;UNICHAR(32047)&amp;UNICHAR(35745)&amp;"402"&amp;UNICHAR(31508)&amp;UNICHAR(65307)&amp;UNICHAR(32047)&amp;UNICHAR(35745)&amp;UNICHAR(32477)&amp;UNICHAR(23545)&amp;UNICHAR(37329)&amp;UNICHAR(39069)&amp;"39,714,714.19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3跳关系；路径累计402笔；累计绝对金额39,714,714.19元；最近交易2025-12-29 14:10:33；同社区=是；双向关系0条</x:v>
      </x:c>
      <x:c r="M84" s="34" t="str"/>
      <x:c r="N84" s="34" t="str"/>
      <x:c r="O84" s="34" t="str"/>
      <x:c r="P84" s="34" t="str"/>
      <x:c r="Q84" s="34" t="str"/>
      <x:c r="R84" s="34" t="str"/>
      <x:c r="S84" s="37" t="str"/>
    </x:row>
    <x:row r="85" ht="38" customHeight="1">
      <x:c r="A85" s="31" t="str">
        <x:v>LINK-040</x:v>
      </x:c>
      <x:c r="B85" s="31" t="str">
        <x:v>B</x:v>
      </x:c>
      <x:c r="C85" s="31" t="str">
        <x:v>A00004</x:v>
      </x:c>
      <x:c r="D85" s="31" t="str">
        <x:v>A00026</x:v>
      </x:c>
      <x:c r="E85" s="31" t="n">
        <x:v>3</x:v>
      </x:c>
      <x:c r="F85" s="31" t="str">
        <x:f>"A00004 "&amp;UNICHAR(8594)&amp;" A00079 "&amp;UNICHAR(8594)&amp;" A00032 "&amp;UNICHAR(8594)&amp;" A00026"</x:f>
        <x:v>A00004 → A00079 → A00032 → A00026</x:v>
      </x:c>
      <x:c r="G85" s="31" t="n">
        <x:v>402</x:v>
      </x:c>
      <x:c r="H85" s="35" t="n">
        <x:v>39714714.19</x:v>
      </x:c>
      <x:c r="I85" s="36" t="str">
        <x:v>2025-12-29T14:10:33.000</x:v>
      </x:c>
      <x:c r="J85" s="31" t="str">
        <x:f>UNICHAR(26159)</x:f>
        <x:v>是</x:v>
      </x:c>
      <x:c r="K85" s="31" t="n">
        <x:v>0</x:v>
      </x:c>
      <x:c r="L85" s="31" t="str">
        <x:f>"3"&amp;UNICHAR(36339)&amp;UNICHAR(20851)&amp;UNICHAR(31995)&amp;UNICHAR(65307)&amp;UNICHAR(36335)&amp;UNICHAR(24452)&amp;UNICHAR(32047)&amp;UNICHAR(35745)&amp;"402"&amp;UNICHAR(31508)&amp;UNICHAR(65307)&amp;UNICHAR(32047)&amp;UNICHAR(35745)&amp;UNICHAR(32477)&amp;UNICHAR(23545)&amp;UNICHAR(37329)&amp;UNICHAR(39069)&amp;"39,714,714.19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3跳关系；路径累计402笔；累计绝对金额39,714,714.19元；最近交易2025-12-29 14:10:33；同社区=是；双向关系0条</x:v>
      </x:c>
      <x:c r="M85" s="34" t="str"/>
      <x:c r="N85" s="34" t="str"/>
      <x:c r="O85" s="34" t="str"/>
      <x:c r="P85" s="34" t="str"/>
      <x:c r="Q85" s="34" t="str"/>
      <x:c r="R85" s="34" t="str"/>
      <x:c r="S85" s="37" t="str"/>
    </x:row>
    <x:row r="86" ht="38" customHeight="1">
      <x:c r="A86" s="31" t="str">
        <x:v>LINK-041</x:v>
      </x:c>
      <x:c r="B86" s="31" t="str">
        <x:v>A</x:v>
      </x:c>
      <x:c r="C86" s="31" t="str">
        <x:v>A00022</x:v>
      </x:c>
      <x:c r="D86" s="31" t="str">
        <x:v>A00020</x:v>
      </x:c>
      <x:c r="E86" s="31" t="n">
        <x:v>2</x:v>
      </x:c>
      <x:c r="F86" s="31" t="str">
        <x:f>"A00022 "&amp;UNICHAR(8594)&amp;" A00091 "&amp;UNICHAR(8594)&amp;" A00020"</x:f>
        <x:v>A00022 → A00091 → A00020</x:v>
      </x:c>
      <x:c r="G86" s="31" t="n">
        <x:v>9</x:v>
      </x:c>
      <x:c r="H86" s="35" t="n">
        <x:v>105200</x:v>
      </x:c>
      <x:c r="I86" s="36" t="str">
        <x:v>2025-12-22T14:30:49.000</x:v>
      </x:c>
      <x:c r="J86" s="31" t="str">
        <x:f>UNICHAR(26159)</x:f>
        <x:v>是</x:v>
      </x:c>
      <x:c r="K86" s="31" t="n">
        <x:v>0</x:v>
      </x:c>
      <x:c r="L86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105,200.00"&amp;UNICHAR(20803)&amp;UNICHAR(65307)&amp;UNICHAR(26368)&amp;UNICHAR(36817)&amp;UNICHAR(20132)&amp;UNICHAR(26131)&amp;"2025-12-22 14:30:49"&amp;UNICHAR(65307)&amp;UNICHAR(21516)&amp;UNICHAR(31038)&amp;UNICHAR(21306)&amp;"="&amp;UNICHAR(26159)&amp;UNICHAR(65307)&amp;UNICHAR(21452)&amp;UNICHAR(21521)&amp;UNICHAR(20851)&amp;UNICHAR(31995)&amp;"0"&amp;UNICHAR(26465)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2跳关系；路径累计9笔；累计绝对金额105,200.00元；最近交易2025-12-22 14:30:49；同社区=是；双向关系0条</x:v>
      </x:c>
      <x:c r="M86" s="34" t="str"/>
      <x:c r="N86" s="34" t="str"/>
      <x:c r="O86" s="34" t="str"/>
      <x:c r="P86" s="34" t="str"/>
      <x:c r="Q86" s="34" t="str"/>
      <x:c r="R86" s="34" t="str"/>
      <x:c r="S86" s="37" t="str"/>
    </x:row>
    <x:row r="87" ht="38" customHeight="1">
      <x:c r="A87" s="31" t="str">
        <x:v>LINK-041</x:v>
      </x:c>
      <x:c r="B87" s="31" t="str">
        <x:v>B</x:v>
      </x:c>
      <x:c r="C87" s="31" t="str">
        <x:v>A00022</x:v>
      </x:c>
      <x:c r="D87" s="31" t="str">
        <x:v>A00020</x:v>
      </x:c>
      <x:c r="E87" s="31" t="n">
        <x:v>2</x:v>
      </x:c>
      <x:c r="F87" s="31" t="str">
        <x:f>"A00022 "&amp;UNICHAR(8594)&amp;" A00091 "&amp;UNICHAR(8594)&amp;" A00020"</x:f>
        <x:v>A00022 → A00091 → A00020</x:v>
      </x:c>
      <x:c r="G87" s="31" t="n">
        <x:v>9</x:v>
      </x:c>
      <x:c r="H87" s="35" t="n">
        <x:v>105200</x:v>
      </x:c>
      <x:c r="I87" s="36" t="str">
        <x:v>2025-12-22T14:30:49.000</x:v>
      </x:c>
      <x:c r="J87" s="31" t="str">
        <x:f>UNICHAR(26159)</x:f>
        <x:v>是</x:v>
      </x:c>
      <x:c r="K87" s="31" t="n">
        <x:v>0</x:v>
      </x:c>
      <x:c r="L87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105,200.00"&amp;UNICHAR(20803)&amp;UNICHAR(65307)&amp;UNICHAR(26368)&amp;UNICHAR(36817)&amp;UNICHAR(20132)&amp;UNICHAR(26131)&amp;"2025-12-22 14:30:49"&amp;UNICHAR(65307)&amp;UNICHAR(21516)&amp;UNICHAR(31038)&amp;UNICHAR(21306)&amp;"="&amp;UNICHAR(26159)&amp;UNICHAR(65307)&amp;UNICHAR(21452)&amp;UNICHAR(21521)&amp;UNICHAR(20851)&amp;UNICHAR(31995)&amp;"0"&amp;UNICHAR(26465)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2跳关系；路径累计9笔；累计绝对金额105,200.00元；最近交易2025-12-22 14:30:49；同社区=是；双向关系0条</x:v>
      </x:c>
      <x:c r="M87" s="34" t="str"/>
      <x:c r="N87" s="34" t="str"/>
      <x:c r="O87" s="34" t="str"/>
      <x:c r="P87" s="34" t="str"/>
      <x:c r="Q87" s="34" t="str"/>
      <x:c r="R87" s="34" t="str"/>
      <x:c r="S87" s="37" t="str"/>
    </x:row>
    <x:row r="88" ht="38" customHeight="1">
      <x:c r="A88" s="31" t="str">
        <x:v>LINK-042</x:v>
      </x:c>
      <x:c r="B88" s="31" t="str">
        <x:v>A</x:v>
      </x:c>
      <x:c r="C88" s="31" t="str">
        <x:v>A00004</x:v>
      </x:c>
      <x:c r="D88" s="31" t="str">
        <x:v>A00023</x:v>
      </x:c>
      <x:c r="E88" s="31" t="n">
        <x:v>3</x:v>
      </x:c>
      <x:c r="F88" s="31" t="str">
        <x:f>"A00004 "&amp;UNICHAR(8594)&amp;" A00079 "&amp;UNICHAR(8594)&amp;" A00032 "&amp;UNICHAR(8594)&amp;" A00023"</x:f>
        <x:v>A00004 → A00079 → A00032 → A00023</x:v>
      </x:c>
      <x:c r="G88" s="31" t="n">
        <x:v>401</x:v>
      </x:c>
      <x:c r="H88" s="35" t="n">
        <x:v>175094745.61</x:v>
      </x:c>
      <x:c r="I88" s="36" t="str">
        <x:v>2025-12-29T14:10:33.000</x:v>
      </x:c>
      <x:c r="J88" s="31" t="str">
        <x:f>UNICHAR(26159)</x:f>
        <x:v>是</x:v>
      </x:c>
      <x:c r="K88" s="31" t="n">
        <x:v>0</x:v>
      </x:c>
      <x:c r="L88" s="31" t="str">
        <x:f>"3"&amp;UNICHAR(36339)&amp;UNICHAR(20851)&amp;UNICHAR(31995)&amp;UNICHAR(65307)&amp;UNICHAR(36335)&amp;UNICHAR(24452)&amp;UNICHAR(32047)&amp;UNICHAR(35745)&amp;"401"&amp;UNICHAR(31508)&amp;UNICHAR(65307)&amp;UNICHAR(32047)&amp;UNICHAR(35745)&amp;UNICHAR(32477)&amp;UNICHAR(23545)&amp;UNICHAR(37329)&amp;UNICHAR(39069)&amp;"175,094,745.61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3跳关系；路径累计401笔；累计绝对金额175,094,745.61元；最近交易2025-12-29 14:10:33；同社区=是；双向关系0条</x:v>
      </x:c>
      <x:c r="M88" s="34" t="str"/>
      <x:c r="N88" s="34" t="str"/>
      <x:c r="O88" s="34" t="str"/>
      <x:c r="P88" s="34" t="str"/>
      <x:c r="Q88" s="34" t="str"/>
      <x:c r="R88" s="34" t="str"/>
      <x:c r="S88" s="37" t="str"/>
    </x:row>
    <x:row r="89" ht="38" customHeight="1">
      <x:c r="A89" s="31" t="str">
        <x:v>LINK-042</x:v>
      </x:c>
      <x:c r="B89" s="31" t="str">
        <x:v>B</x:v>
      </x:c>
      <x:c r="C89" s="31" t="str">
        <x:v>A00004</x:v>
      </x:c>
      <x:c r="D89" s="31" t="str">
        <x:v>A00023</x:v>
      </x:c>
      <x:c r="E89" s="31" t="n">
        <x:v>3</x:v>
      </x:c>
      <x:c r="F89" s="31" t="str">
        <x:f>"A00004 "&amp;UNICHAR(8594)&amp;" A00079 "&amp;UNICHAR(8594)&amp;" A00032 "&amp;UNICHAR(8594)&amp;" A00023"</x:f>
        <x:v>A00004 → A00079 → A00032 → A00023</x:v>
      </x:c>
      <x:c r="G89" s="31" t="n">
        <x:v>401</x:v>
      </x:c>
      <x:c r="H89" s="35" t="n">
        <x:v>175094745.61</x:v>
      </x:c>
      <x:c r="I89" s="36" t="str">
        <x:v>2025-12-29T14:10:33.000</x:v>
      </x:c>
      <x:c r="J89" s="31" t="str">
        <x:f>UNICHAR(26159)</x:f>
        <x:v>是</x:v>
      </x:c>
      <x:c r="K89" s="31" t="n">
        <x:v>0</x:v>
      </x:c>
      <x:c r="L89" s="31" t="str">
        <x:f>"3"&amp;UNICHAR(36339)&amp;UNICHAR(20851)&amp;UNICHAR(31995)&amp;UNICHAR(65307)&amp;UNICHAR(36335)&amp;UNICHAR(24452)&amp;UNICHAR(32047)&amp;UNICHAR(35745)&amp;"401"&amp;UNICHAR(31508)&amp;UNICHAR(65307)&amp;UNICHAR(32047)&amp;UNICHAR(35745)&amp;UNICHAR(32477)&amp;UNICHAR(23545)&amp;UNICHAR(37329)&amp;UNICHAR(39069)&amp;"175,094,745.61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3跳关系；路径累计401笔；累计绝对金额175,094,745.61元；最近交易2025-12-29 14:10:33；同社区=是；双向关系0条</x:v>
      </x:c>
      <x:c r="M89" s="34" t="str"/>
      <x:c r="N89" s="34" t="str"/>
      <x:c r="O89" s="34" t="str"/>
      <x:c r="P89" s="34" t="str"/>
      <x:c r="Q89" s="34" t="str"/>
      <x:c r="R89" s="34" t="str"/>
      <x:c r="S89" s="37" t="str"/>
    </x:row>
    <x:row r="90" ht="38" customHeight="1">
      <x:c r="A90" s="31" t="str">
        <x:v>LINK-043</x:v>
      </x:c>
      <x:c r="B90" s="31" t="str">
        <x:v>A</x:v>
      </x:c>
      <x:c r="C90" s="31" t="str">
        <x:v>A00078</x:v>
      </x:c>
      <x:c r="D90" s="31" t="str">
        <x:v>A00052</x:v>
      </x:c>
      <x:c r="E90" s="31" t="n">
        <x:v>1</x:v>
      </x:c>
      <x:c r="F90" s="31" t="str">
        <x:f>"A00078 "&amp;UNICHAR(8594)&amp;" A00052"</x:f>
        <x:v>A00078 → A00052</x:v>
      </x:c>
      <x:c r="G90" s="31" t="n">
        <x:v>3</x:v>
      </x:c>
      <x:c r="H90" s="35" t="n">
        <x:v>4501.9</x:v>
      </x:c>
      <x:c r="I90" s="36" t="str">
        <x:v>2025-11-12T15:05:34.000</x:v>
      </x:c>
      <x:c r="J90" s="31" t="str">
        <x:f>UNICHAR(26159)</x:f>
        <x:v>是</x:v>
      </x:c>
      <x:c r="K90" s="31" t="n">
        <x:v>0</x:v>
      </x:c>
      <x:c r="L90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4,501.90"&amp;UNICHAR(20803)&amp;UNICHAR(65307)&amp;UNICHAR(26368)&amp;UNICHAR(36817)&amp;UNICHAR(20132)&amp;UNICHAR(26131)&amp;"2025-11-12 15:05:34"&amp;UNICHAR(65307)&amp;UNICHAR(21516)&amp;UNICHAR(31038)&amp;UNICHAR(21306)&amp;"="&amp;UNICHAR(26159)&amp;UNICHAR(65307)&amp;UNICHAR(21452)&amp;UNICHAR(21521)&amp;UNICHAR(20851)&amp;UNICHAR(31995)&amp;"0"&amp;UNICHAR(26465)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1跳关系；路径累计3笔；累计绝对金额4,501.90元；最近交易2025-11-12 15:05:34；同社区=是；双向关系0条</x:v>
      </x:c>
      <x:c r="M90" s="34" t="str"/>
      <x:c r="N90" s="34" t="str"/>
      <x:c r="O90" s="34" t="str"/>
      <x:c r="P90" s="34" t="str"/>
      <x:c r="Q90" s="34" t="str"/>
      <x:c r="R90" s="34" t="str"/>
      <x:c r="S90" s="37" t="str"/>
    </x:row>
    <x:row r="91" ht="38" customHeight="1">
      <x:c r="A91" s="31" t="str">
        <x:v>LINK-043</x:v>
      </x:c>
      <x:c r="B91" s="31" t="str">
        <x:v>B</x:v>
      </x:c>
      <x:c r="C91" s="31" t="str">
        <x:v>A00078</x:v>
      </x:c>
      <x:c r="D91" s="31" t="str">
        <x:v>A00052</x:v>
      </x:c>
      <x:c r="E91" s="31" t="n">
        <x:v>1</x:v>
      </x:c>
      <x:c r="F91" s="31" t="str">
        <x:f>"A00078 "&amp;UNICHAR(8594)&amp;" A00052"</x:f>
        <x:v>A00078 → A00052</x:v>
      </x:c>
      <x:c r="G91" s="31" t="n">
        <x:v>3</x:v>
      </x:c>
      <x:c r="H91" s="35" t="n">
        <x:v>4501.9</x:v>
      </x:c>
      <x:c r="I91" s="36" t="str">
        <x:v>2025-11-12T15:05:34.000</x:v>
      </x:c>
      <x:c r="J91" s="31" t="str">
        <x:f>UNICHAR(26159)</x:f>
        <x:v>是</x:v>
      </x:c>
      <x:c r="K91" s="31" t="n">
        <x:v>0</x:v>
      </x:c>
      <x:c r="L91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4,501.90"&amp;UNICHAR(20803)&amp;UNICHAR(65307)&amp;UNICHAR(26368)&amp;UNICHAR(36817)&amp;UNICHAR(20132)&amp;UNICHAR(26131)&amp;"2025-11-12 15:05:34"&amp;UNICHAR(65307)&amp;UNICHAR(21516)&amp;UNICHAR(31038)&amp;UNICHAR(21306)&amp;"="&amp;UNICHAR(26159)&amp;UNICHAR(65307)&amp;UNICHAR(21452)&amp;UNICHAR(21521)&amp;UNICHAR(20851)&amp;UNICHAR(31995)&amp;"0"&amp;UNICHAR(26465)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1跳关系；路径累计3笔；累计绝对金额4,501.90元；最近交易2025-11-12 15:05:34；同社区=是；双向关系0条</x:v>
      </x:c>
      <x:c r="M91" s="34" t="str"/>
      <x:c r="N91" s="34" t="str"/>
      <x:c r="O91" s="34" t="str"/>
      <x:c r="P91" s="34" t="str"/>
      <x:c r="Q91" s="34" t="str"/>
      <x:c r="R91" s="34" t="str"/>
      <x:c r="S91" s="37" t="str"/>
    </x:row>
    <x:row r="92" ht="38" customHeight="1">
      <x:c r="A92" s="31" t="str">
        <x:v>LINK-044</x:v>
      </x:c>
      <x:c r="B92" s="31" t="str">
        <x:v>A</x:v>
      </x:c>
      <x:c r="C92" s="31" t="str">
        <x:v>A00045</x:v>
      </x:c>
      <x:c r="D92" s="31" t="str">
        <x:v>A00019</x:v>
      </x:c>
      <x:c r="E92" s="31" t="n">
        <x:v>3</x:v>
      </x:c>
      <x:c r="F92" s="31" t="str">
        <x:f>"A00045 "&amp;UNICHAR(8594)&amp;" A00074 "&amp;UNICHAR(8594)&amp;" A00056 "&amp;UNICHAR(8594)&amp;" A00019"</x:f>
        <x:v>A00045 → A00074 → A00056 → A00019</x:v>
      </x:c>
      <x:c r="G92" s="31" t="n">
        <x:v>366</x:v>
      </x:c>
      <x:c r="H92" s="35" t="n">
        <x:v>7892978203.24</x:v>
      </x:c>
      <x:c r="I92" s="36" t="str">
        <x:v>2025-12-31T15:32:57.000</x:v>
      </x:c>
      <x:c r="J92" s="31" t="str">
        <x:f>UNICHAR(26159)</x:f>
        <x:v>是</x:v>
      </x:c>
      <x:c r="K92" s="31" t="n">
        <x:v>3</x:v>
      </x:c>
      <x:c r="L92" s="31" t="str">
        <x:f>"3"&amp;UNICHAR(36339)&amp;UNICHAR(20851)&amp;UNICHAR(31995)&amp;UNICHAR(65307)&amp;UNICHAR(36335)&amp;UNICHAR(24452)&amp;UNICHAR(32047)&amp;UNICHAR(35745)&amp;"366"&amp;UNICHAR(31508)&amp;UNICHAR(65307)&amp;UNICHAR(32047)&amp;UNICHAR(35745)&amp;UNICHAR(32477)&amp;UNICHAR(23545)&amp;UNICHAR(37329)&amp;UNICHAR(39069)&amp;"7,892,978,203.24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3跳关系；路径累计366笔；累计绝对金额7,892,978,203.24元；最近交易2025-12-31 15:32:57；同社区=是；双向关系3条</x:v>
      </x:c>
      <x:c r="M92" s="34" t="str"/>
      <x:c r="N92" s="34" t="str"/>
      <x:c r="O92" s="34" t="str"/>
      <x:c r="P92" s="34" t="str"/>
      <x:c r="Q92" s="34" t="str"/>
      <x:c r="R92" s="34" t="str"/>
      <x:c r="S92" s="37" t="str"/>
    </x:row>
    <x:row r="93" ht="38" customHeight="1">
      <x:c r="A93" s="31" t="str">
        <x:v>LINK-044</x:v>
      </x:c>
      <x:c r="B93" s="31" t="str">
        <x:v>B</x:v>
      </x:c>
      <x:c r="C93" s="31" t="str">
        <x:v>A00045</x:v>
      </x:c>
      <x:c r="D93" s="31" t="str">
        <x:v>A00019</x:v>
      </x:c>
      <x:c r="E93" s="31" t="n">
        <x:v>3</x:v>
      </x:c>
      <x:c r="F93" s="31" t="str">
        <x:f>"A00045 "&amp;UNICHAR(8594)&amp;" A00074 "&amp;UNICHAR(8594)&amp;" A00056 "&amp;UNICHAR(8594)&amp;" A00019"</x:f>
        <x:v>A00045 → A00074 → A00056 → A00019</x:v>
      </x:c>
      <x:c r="G93" s="31" t="n">
        <x:v>366</x:v>
      </x:c>
      <x:c r="H93" s="35" t="n">
        <x:v>7892978203.24</x:v>
      </x:c>
      <x:c r="I93" s="36" t="str">
        <x:v>2025-12-31T15:32:57.000</x:v>
      </x:c>
      <x:c r="J93" s="31" t="str">
        <x:f>UNICHAR(26159)</x:f>
        <x:v>是</x:v>
      </x:c>
      <x:c r="K93" s="31" t="n">
        <x:v>3</x:v>
      </x:c>
      <x:c r="L93" s="31" t="str">
        <x:f>"3"&amp;UNICHAR(36339)&amp;UNICHAR(20851)&amp;UNICHAR(31995)&amp;UNICHAR(65307)&amp;UNICHAR(36335)&amp;UNICHAR(24452)&amp;UNICHAR(32047)&amp;UNICHAR(35745)&amp;"366"&amp;UNICHAR(31508)&amp;UNICHAR(65307)&amp;UNICHAR(32047)&amp;UNICHAR(35745)&amp;UNICHAR(32477)&amp;UNICHAR(23545)&amp;UNICHAR(37329)&amp;UNICHAR(39069)&amp;"7,892,978,203.24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3跳关系；路径累计366笔；累计绝对金额7,892,978,203.24元；最近交易2025-12-31 15:32:57；同社区=是；双向关系3条</x:v>
      </x:c>
      <x:c r="M93" s="34" t="str"/>
      <x:c r="N93" s="34" t="str"/>
      <x:c r="O93" s="34" t="str"/>
      <x:c r="P93" s="34" t="str"/>
      <x:c r="Q93" s="34" t="str"/>
      <x:c r="R93" s="34" t="str"/>
      <x:c r="S93" s="37" t="str"/>
    </x:row>
    <x:row r="94" ht="38" customHeight="1">
      <x:c r="A94" s="31" t="str">
        <x:v>LINK-045</x:v>
      </x:c>
      <x:c r="B94" s="31" t="str">
        <x:v>A</x:v>
      </x:c>
      <x:c r="C94" s="31" t="str">
        <x:v>A00022</x:v>
      </x:c>
      <x:c r="D94" s="31" t="str">
        <x:v>A00021</x:v>
      </x:c>
      <x:c r="E94" s="31" t="n">
        <x:v>2</x:v>
      </x:c>
      <x:c r="F94" s="31" t="str">
        <x:f>"A00022 "&amp;UNICHAR(8594)&amp;" A00091 "&amp;UNICHAR(8594)&amp;" A00021"</x:f>
        <x:v>A00022 → A00091 → A00021</x:v>
      </x:c>
      <x:c r="G94" s="31" t="n">
        <x:v>68</x:v>
      </x:c>
      <x:c r="H94" s="35" t="n">
        <x:v>4659742</x:v>
      </x:c>
      <x:c r="I94" s="36" t="str">
        <x:v>2025-12-25T13:54:23.000</x:v>
      </x:c>
      <x:c r="J94" s="31" t="str">
        <x:f>UNICHAR(26159)</x:f>
        <x:v>是</x:v>
      </x:c>
      <x:c r="K94" s="31" t="n">
        <x:v>0</x:v>
      </x:c>
      <x:c r="L94" s="31" t="str">
        <x:f>"2"&amp;UNICHAR(36339)&amp;UNICHAR(20851)&amp;UNICHAR(31995)&amp;UNICHAR(65307)&amp;UNICHAR(36335)&amp;UNICHAR(24452)&amp;UNICHAR(32047)&amp;UNICHAR(35745)&amp;"68"&amp;UNICHAR(31508)&amp;UNICHAR(65307)&amp;UNICHAR(32047)&amp;UNICHAR(35745)&amp;UNICHAR(32477)&amp;UNICHAR(23545)&amp;UNICHAR(37329)&amp;UNICHAR(39069)&amp;"4,659,742.00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2跳关系；路径累计68笔；累计绝对金额4,659,742.00元；最近交易2025-12-25 13:54:23；同社区=是；双向关系0条</x:v>
      </x:c>
      <x:c r="M94" s="34" t="str"/>
      <x:c r="N94" s="34" t="str"/>
      <x:c r="O94" s="34" t="str"/>
      <x:c r="P94" s="34" t="str"/>
      <x:c r="Q94" s="34" t="str"/>
      <x:c r="R94" s="34" t="str"/>
      <x:c r="S94" s="37" t="str"/>
    </x:row>
    <x:row r="95" ht="38" customHeight="1">
      <x:c r="A95" s="31" t="str">
        <x:v>LINK-045</x:v>
      </x:c>
      <x:c r="B95" s="31" t="str">
        <x:v>B</x:v>
      </x:c>
      <x:c r="C95" s="31" t="str">
        <x:v>A00022</x:v>
      </x:c>
      <x:c r="D95" s="31" t="str">
        <x:v>A00021</x:v>
      </x:c>
      <x:c r="E95" s="31" t="n">
        <x:v>2</x:v>
      </x:c>
      <x:c r="F95" s="31" t="str">
        <x:f>"A00022 "&amp;UNICHAR(8594)&amp;" A00091 "&amp;UNICHAR(8594)&amp;" A00021"</x:f>
        <x:v>A00022 → A00091 → A00021</x:v>
      </x:c>
      <x:c r="G95" s="31" t="n">
        <x:v>68</x:v>
      </x:c>
      <x:c r="H95" s="35" t="n">
        <x:v>4659742</x:v>
      </x:c>
      <x:c r="I95" s="36" t="str">
        <x:v>2025-12-25T13:54:23.000</x:v>
      </x:c>
      <x:c r="J95" s="31" t="str">
        <x:f>UNICHAR(26159)</x:f>
        <x:v>是</x:v>
      </x:c>
      <x:c r="K95" s="31" t="n">
        <x:v>0</x:v>
      </x:c>
      <x:c r="L95" s="31" t="str">
        <x:f>"2"&amp;UNICHAR(36339)&amp;UNICHAR(20851)&amp;UNICHAR(31995)&amp;UNICHAR(65307)&amp;UNICHAR(36335)&amp;UNICHAR(24452)&amp;UNICHAR(32047)&amp;UNICHAR(35745)&amp;"68"&amp;UNICHAR(31508)&amp;UNICHAR(65307)&amp;UNICHAR(32047)&amp;UNICHAR(35745)&amp;UNICHAR(32477)&amp;UNICHAR(23545)&amp;UNICHAR(37329)&amp;UNICHAR(39069)&amp;"4,659,742.00"&amp;UNICHAR(20803)&amp;UNICHAR(65307)&amp;UNICHAR(26368)&amp;UNICHAR(36817)&amp;UNICHAR(20132)&amp;UNICHAR(26131)&amp;"2025-12-25 13:54:23"&amp;UNICHAR(65307)&amp;UNICHAR(21516)&amp;UNICHAR(31038)&amp;UNICHAR(21306)&amp;"="&amp;UNICHAR(26159)&amp;UNICHAR(65307)&amp;UNICHAR(21452)&amp;UNICHAR(21521)&amp;UNICHAR(20851)&amp;UNICHAR(31995)&amp;"0"&amp;UNICHAR(26465)</x:f>
        <x:v>2跳关系；路径累计68笔；累计绝对金额4,659,742.00元；最近交易2025-12-25 13:54:23；同社区=是；双向关系0条</x:v>
      </x:c>
      <x:c r="M95" s="34" t="str"/>
      <x:c r="N95" s="34" t="str"/>
      <x:c r="O95" s="34" t="str"/>
      <x:c r="P95" s="34" t="str"/>
      <x:c r="Q95" s="34" t="str"/>
      <x:c r="R95" s="34" t="str"/>
      <x:c r="S95" s="37" t="str"/>
    </x:row>
    <x:row r="96" ht="38" customHeight="1">
      <x:c r="A96" s="31" t="str">
        <x:v>LINK-046</x:v>
      </x:c>
      <x:c r="B96" s="31" t="str">
        <x:v>A</x:v>
      </x:c>
      <x:c r="C96" s="31" t="str">
        <x:v>A00078</x:v>
      </x:c>
      <x:c r="D96" s="31" t="str">
        <x:v>A00054</x:v>
      </x:c>
      <x:c r="E96" s="31" t="n">
        <x:v>2</x:v>
      </x:c>
      <x:c r="F96" s="31" t="str">
        <x:f>"A00078 "&amp;UNICHAR(8594)&amp;" A00012 "&amp;UNICHAR(8594)&amp;" A00054"</x:f>
        <x:v>A00078 → A00012 → A00054</x:v>
      </x:c>
      <x:c r="G96" s="31" t="n">
        <x:v>899</x:v>
      </x:c>
      <x:c r="H96" s="35" t="n">
        <x:v>20674140.07</x:v>
      </x:c>
      <x:c r="I96" s="36" t="str">
        <x:v>2025-12-25T15:04:19.000</x:v>
      </x:c>
      <x:c r="J96" s="31" t="str">
        <x:f>UNICHAR(26159)</x:f>
        <x:v>是</x:v>
      </x:c>
      <x:c r="K96" s="31" t="n">
        <x:v>1</x:v>
      </x:c>
      <x:c r="L96" s="31" t="str">
        <x:f>"2"&amp;UNICHAR(36339)&amp;UNICHAR(20851)&amp;UNICHAR(31995)&amp;UNICHAR(65307)&amp;UNICHAR(36335)&amp;UNICHAR(24452)&amp;UNICHAR(32047)&amp;UNICHAR(35745)&amp;"899"&amp;UNICHAR(31508)&amp;UNICHAR(65307)&amp;UNICHAR(32047)&amp;UNICHAR(35745)&amp;UNICHAR(32477)&amp;UNICHAR(23545)&amp;UNICHAR(37329)&amp;UNICHAR(39069)&amp;"20,674,140.07"&amp;UNICHAR(20803)&amp;UNICHAR(65307)&amp;UNICHAR(26368)&amp;UNICHAR(36817)&amp;UNICHAR(20132)&amp;UNICHAR(26131)&amp;"2025-12-25 15:04:19"&amp;UNICHAR(65307)&amp;UNICHAR(21516)&amp;UNICHAR(31038)&amp;UNICHAR(21306)&amp;"="&amp;UNICHAR(26159)&amp;UNICHAR(65307)&amp;UNICHAR(21452)&amp;UNICHAR(21521)&amp;UNICHAR(20851)&amp;UNICHAR(31995)&amp;"1"&amp;UNICHAR(26465)</x:f>
        <x:v>2跳关系；路径累计899笔；累计绝对金额20,674,140.07元；最近交易2025-12-25 15:04:19；同社区=是；双向关系1条</x:v>
      </x:c>
      <x:c r="M96" s="34" t="str"/>
      <x:c r="N96" s="34" t="str"/>
      <x:c r="O96" s="34" t="str"/>
      <x:c r="P96" s="34" t="str"/>
      <x:c r="Q96" s="34" t="str"/>
      <x:c r="R96" s="34" t="str"/>
      <x:c r="S96" s="37" t="str"/>
    </x:row>
    <x:row r="97" ht="38" customHeight="1">
      <x:c r="A97" s="31" t="str">
        <x:v>LINK-046</x:v>
      </x:c>
      <x:c r="B97" s="31" t="str">
        <x:v>B</x:v>
      </x:c>
      <x:c r="C97" s="31" t="str">
        <x:v>A00078</x:v>
      </x:c>
      <x:c r="D97" s="31" t="str">
        <x:v>A00054</x:v>
      </x:c>
      <x:c r="E97" s="31" t="n">
        <x:v>2</x:v>
      </x:c>
      <x:c r="F97" s="31" t="str">
        <x:f>"A00078 "&amp;UNICHAR(8594)&amp;" A00012 "&amp;UNICHAR(8594)&amp;" A00054"</x:f>
        <x:v>A00078 → A00012 → A00054</x:v>
      </x:c>
      <x:c r="G97" s="31" t="n">
        <x:v>899</x:v>
      </x:c>
      <x:c r="H97" s="35" t="n">
        <x:v>20674140.07</x:v>
      </x:c>
      <x:c r="I97" s="36" t="str">
        <x:v>2025-12-25T15:04:19.000</x:v>
      </x:c>
      <x:c r="J97" s="31" t="str">
        <x:f>UNICHAR(26159)</x:f>
        <x:v>是</x:v>
      </x:c>
      <x:c r="K97" s="31" t="n">
        <x:v>1</x:v>
      </x:c>
      <x:c r="L97" s="31" t="str">
        <x:f>"2"&amp;UNICHAR(36339)&amp;UNICHAR(20851)&amp;UNICHAR(31995)&amp;UNICHAR(65307)&amp;UNICHAR(36335)&amp;UNICHAR(24452)&amp;UNICHAR(32047)&amp;UNICHAR(35745)&amp;"899"&amp;UNICHAR(31508)&amp;UNICHAR(65307)&amp;UNICHAR(32047)&amp;UNICHAR(35745)&amp;UNICHAR(32477)&amp;UNICHAR(23545)&amp;UNICHAR(37329)&amp;UNICHAR(39069)&amp;"20,674,140.07"&amp;UNICHAR(20803)&amp;UNICHAR(65307)&amp;UNICHAR(26368)&amp;UNICHAR(36817)&amp;UNICHAR(20132)&amp;UNICHAR(26131)&amp;"2025-12-25 15:04:19"&amp;UNICHAR(65307)&amp;UNICHAR(21516)&amp;UNICHAR(31038)&amp;UNICHAR(21306)&amp;"="&amp;UNICHAR(26159)&amp;UNICHAR(65307)&amp;UNICHAR(21452)&amp;UNICHAR(21521)&amp;UNICHAR(20851)&amp;UNICHAR(31995)&amp;"1"&amp;UNICHAR(26465)</x:f>
        <x:v>2跳关系；路径累计899笔；累计绝对金额20,674,140.07元；最近交易2025-12-25 15:04:19；同社区=是；双向关系1条</x:v>
      </x:c>
      <x:c r="M97" s="34" t="str"/>
      <x:c r="N97" s="34" t="str"/>
      <x:c r="O97" s="34" t="str"/>
      <x:c r="P97" s="34" t="str"/>
      <x:c r="Q97" s="34" t="str"/>
      <x:c r="R97" s="34" t="str"/>
      <x:c r="S97" s="37" t="str"/>
    </x:row>
    <x:row r="98" ht="38" customHeight="1">
      <x:c r="A98" s="31" t="str">
        <x:v>LINK-047</x:v>
      </x:c>
      <x:c r="B98" s="31" t="str">
        <x:v>A</x:v>
      </x:c>
      <x:c r="C98" s="31" t="str">
        <x:v>A00022</x:v>
      </x:c>
      <x:c r="D98" s="31" t="str">
        <x:v>A00033</x:v>
      </x:c>
      <x:c r="E98" s="31" t="n">
        <x:v>2</x:v>
      </x:c>
      <x:c r="F98" s="31" t="str">
        <x:f>"A00022 "&amp;UNICHAR(8594)&amp;" A00091 "&amp;UNICHAR(8594)&amp;" A00033"</x:f>
        <x:v>A00022 → A00091 → A00033</x:v>
      </x:c>
      <x:c r="G98" s="31" t="n">
        <x:v>36</x:v>
      </x:c>
      <x:c r="H98" s="35" t="n">
        <x:v>8581502</x:v>
      </x:c>
      <x:c r="I98" s="36" t="str">
        <x:v>2025-12-29T10:14:28.000</x:v>
      </x:c>
      <x:c r="J98" s="31" t="str">
        <x:f>UNICHAR(26159)</x:f>
        <x:v>是</x:v>
      </x:c>
      <x:c r="K98" s="31" t="n">
        <x:v>0</x:v>
      </x:c>
      <x:c r="L98" s="31" t="str">
        <x:f>"2"&amp;UNICHAR(36339)&amp;UNICHAR(20851)&amp;UNICHAR(31995)&amp;UNICHAR(65307)&amp;UNICHAR(36335)&amp;UNICHAR(24452)&amp;UNICHAR(32047)&amp;UNICHAR(35745)&amp;"36"&amp;UNICHAR(31508)&amp;UNICHAR(65307)&amp;UNICHAR(32047)&amp;UNICHAR(35745)&amp;UNICHAR(32477)&amp;UNICHAR(23545)&amp;UNICHAR(37329)&amp;UNICHAR(39069)&amp;"8,581,502.00"&amp;UNICHAR(20803)&amp;UNICHAR(65307)&amp;UNICHAR(26368)&amp;UNICHAR(36817)&amp;UNICHAR(20132)&amp;UNICHAR(26131)&amp;"2025-12-29 10:14:28"&amp;UNICHAR(65307)&amp;UNICHAR(21516)&amp;UNICHAR(31038)&amp;UNICHAR(21306)&amp;"="&amp;UNICHAR(26159)&amp;UNICHAR(65307)&amp;UNICHAR(21452)&amp;UNICHAR(21521)&amp;UNICHAR(20851)&amp;UNICHAR(31995)&amp;"0"&amp;UNICHAR(26465)</x:f>
        <x:v>2跳关系；路径累计36笔；累计绝对金额8,581,502.00元；最近交易2025-12-29 10:14:28；同社区=是；双向关系0条</x:v>
      </x:c>
      <x:c r="M98" s="34" t="str"/>
      <x:c r="N98" s="34" t="str"/>
      <x:c r="O98" s="34" t="str"/>
      <x:c r="P98" s="34" t="str"/>
      <x:c r="Q98" s="34" t="str"/>
      <x:c r="R98" s="34" t="str"/>
      <x:c r="S98" s="37" t="str"/>
    </x:row>
    <x:row r="99" ht="38" customHeight="1">
      <x:c r="A99" s="31" t="str">
        <x:v>LINK-047</x:v>
      </x:c>
      <x:c r="B99" s="31" t="str">
        <x:v>B</x:v>
      </x:c>
      <x:c r="C99" s="31" t="str">
        <x:v>A00022</x:v>
      </x:c>
      <x:c r="D99" s="31" t="str">
        <x:v>A00033</x:v>
      </x:c>
      <x:c r="E99" s="31" t="n">
        <x:v>2</x:v>
      </x:c>
      <x:c r="F99" s="31" t="str">
        <x:f>"A00022 "&amp;UNICHAR(8594)&amp;" A00091 "&amp;UNICHAR(8594)&amp;" A00033"</x:f>
        <x:v>A00022 → A00091 → A00033</x:v>
      </x:c>
      <x:c r="G99" s="31" t="n">
        <x:v>36</x:v>
      </x:c>
      <x:c r="H99" s="35" t="n">
        <x:v>8581502</x:v>
      </x:c>
      <x:c r="I99" s="36" t="str">
        <x:v>2025-12-29T10:14:28.000</x:v>
      </x:c>
      <x:c r="J99" s="31" t="str">
        <x:f>UNICHAR(26159)</x:f>
        <x:v>是</x:v>
      </x:c>
      <x:c r="K99" s="31" t="n">
        <x:v>0</x:v>
      </x:c>
      <x:c r="L99" s="31" t="str">
        <x:f>"2"&amp;UNICHAR(36339)&amp;UNICHAR(20851)&amp;UNICHAR(31995)&amp;UNICHAR(65307)&amp;UNICHAR(36335)&amp;UNICHAR(24452)&amp;UNICHAR(32047)&amp;UNICHAR(35745)&amp;"36"&amp;UNICHAR(31508)&amp;UNICHAR(65307)&amp;UNICHAR(32047)&amp;UNICHAR(35745)&amp;UNICHAR(32477)&amp;UNICHAR(23545)&amp;UNICHAR(37329)&amp;UNICHAR(39069)&amp;"8,581,502.00"&amp;UNICHAR(20803)&amp;UNICHAR(65307)&amp;UNICHAR(26368)&amp;UNICHAR(36817)&amp;UNICHAR(20132)&amp;UNICHAR(26131)&amp;"2025-12-29 10:14:28"&amp;UNICHAR(65307)&amp;UNICHAR(21516)&amp;UNICHAR(31038)&amp;UNICHAR(21306)&amp;"="&amp;UNICHAR(26159)&amp;UNICHAR(65307)&amp;UNICHAR(21452)&amp;UNICHAR(21521)&amp;UNICHAR(20851)&amp;UNICHAR(31995)&amp;"0"&amp;UNICHAR(26465)</x:f>
        <x:v>2跳关系；路径累计36笔；累计绝对金额8,581,502.00元；最近交易2025-12-29 10:14:28；同社区=是；双向关系0条</x:v>
      </x:c>
      <x:c r="M99" s="34" t="str"/>
      <x:c r="N99" s="34" t="str"/>
      <x:c r="O99" s="34" t="str"/>
      <x:c r="P99" s="34" t="str"/>
      <x:c r="Q99" s="34" t="str"/>
      <x:c r="R99" s="34" t="str"/>
      <x:c r="S99" s="37" t="str"/>
    </x:row>
    <x:row r="100" ht="38" customHeight="1">
      <x:c r="A100" s="31" t="str">
        <x:v>LINK-048</x:v>
      </x:c>
      <x:c r="B100" s="31" t="str">
        <x:v>A</x:v>
      </x:c>
      <x:c r="C100" s="31" t="str">
        <x:v>A00004</x:v>
      </x:c>
      <x:c r="D100" s="31" t="str">
        <x:v>A00075</x:v>
      </x:c>
      <x:c r="E100" s="31" t="n">
        <x:v>3</x:v>
      </x:c>
      <x:c r="F100" s="31" t="str">
        <x:f>"A00004 "&amp;UNICHAR(8594)&amp;" A00079 "&amp;UNICHAR(8594)&amp;" A00032 "&amp;UNICHAR(8594)&amp;" A00075"</x:f>
        <x:v>A00004 → A00079 → A00032 → A00075</x:v>
      </x:c>
      <x:c r="G100" s="31" t="n">
        <x:v>403</x:v>
      </x:c>
      <x:c r="H100" s="35" t="n">
        <x:v>39755385.61</x:v>
      </x:c>
      <x:c r="I100" s="36" t="str">
        <x:v>2025-12-29T14:10:33.000</x:v>
      </x:c>
      <x:c r="J100" s="31" t="str">
        <x:f>UNICHAR(26159)</x:f>
        <x:v>是</x:v>
      </x:c>
      <x:c r="K100" s="31" t="n">
        <x:v>0</x:v>
      </x:c>
      <x:c r="L100" s="31" t="str">
        <x:f>"3"&amp;UNICHAR(36339)&amp;UNICHAR(20851)&amp;UNICHAR(31995)&amp;UNICHAR(65307)&amp;UNICHAR(36335)&amp;UNICHAR(24452)&amp;UNICHAR(32047)&amp;UNICHAR(35745)&amp;"403"&amp;UNICHAR(31508)&amp;UNICHAR(65307)&amp;UNICHAR(32047)&amp;UNICHAR(35745)&amp;UNICHAR(32477)&amp;UNICHAR(23545)&amp;UNICHAR(37329)&amp;UNICHAR(39069)&amp;"39,755,385.61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3跳关系；路径累计403笔；累计绝对金额39,755,385.61元；最近交易2025-12-29 14:10:33；同社区=是；双向关系0条</x:v>
      </x:c>
      <x:c r="M100" s="34" t="str"/>
      <x:c r="N100" s="34" t="str"/>
      <x:c r="O100" s="34" t="str"/>
      <x:c r="P100" s="34" t="str"/>
      <x:c r="Q100" s="34" t="str"/>
      <x:c r="R100" s="34" t="str"/>
      <x:c r="S100" s="37" t="str"/>
    </x:row>
    <x:row r="101" ht="38" customHeight="1">
      <x:c r="A101" s="31" t="str">
        <x:v>LINK-048</x:v>
      </x:c>
      <x:c r="B101" s="31" t="str">
        <x:v>B</x:v>
      </x:c>
      <x:c r="C101" s="31" t="str">
        <x:v>A00004</x:v>
      </x:c>
      <x:c r="D101" s="31" t="str">
        <x:v>A00075</x:v>
      </x:c>
      <x:c r="E101" s="31" t="n">
        <x:v>3</x:v>
      </x:c>
      <x:c r="F101" s="31" t="str">
        <x:f>"A00004 "&amp;UNICHAR(8594)&amp;" A00079 "&amp;UNICHAR(8594)&amp;" A00032 "&amp;UNICHAR(8594)&amp;" A00075"</x:f>
        <x:v>A00004 → A00079 → A00032 → A00075</x:v>
      </x:c>
      <x:c r="G101" s="31" t="n">
        <x:v>403</x:v>
      </x:c>
      <x:c r="H101" s="35" t="n">
        <x:v>39755385.61</x:v>
      </x:c>
      <x:c r="I101" s="36" t="str">
        <x:v>2025-12-29T14:10:33.000</x:v>
      </x:c>
      <x:c r="J101" s="31" t="str">
        <x:f>UNICHAR(26159)</x:f>
        <x:v>是</x:v>
      </x:c>
      <x:c r="K101" s="31" t="n">
        <x:v>0</x:v>
      </x:c>
      <x:c r="L101" s="31" t="str">
        <x:f>"3"&amp;UNICHAR(36339)&amp;UNICHAR(20851)&amp;UNICHAR(31995)&amp;UNICHAR(65307)&amp;UNICHAR(36335)&amp;UNICHAR(24452)&amp;UNICHAR(32047)&amp;UNICHAR(35745)&amp;"403"&amp;UNICHAR(31508)&amp;UNICHAR(65307)&amp;UNICHAR(32047)&amp;UNICHAR(35745)&amp;UNICHAR(32477)&amp;UNICHAR(23545)&amp;UNICHAR(37329)&amp;UNICHAR(39069)&amp;"39,755,385.61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3跳关系；路径累计403笔；累计绝对金额39,755,385.61元；最近交易2025-12-29 14:10:33；同社区=是；双向关系0条</x:v>
      </x:c>
      <x:c r="M101" s="34" t="str"/>
      <x:c r="N101" s="34" t="str"/>
      <x:c r="O101" s="34" t="str"/>
      <x:c r="P101" s="34" t="str"/>
      <x:c r="Q101" s="34" t="str"/>
      <x:c r="R101" s="34" t="str"/>
      <x:c r="S101" s="37" t="str"/>
    </x:row>
    <x:row r="102" ht="38" customHeight="1">
      <x:c r="A102" s="31" t="str">
        <x:v>LINK-049</x:v>
      </x:c>
      <x:c r="B102" s="31" t="str">
        <x:v>A</x:v>
      </x:c>
      <x:c r="C102" s="31" t="str">
        <x:v>A00078</x:v>
      </x:c>
      <x:c r="D102" s="31" t="str">
        <x:v>A00069</x:v>
      </x:c>
      <x:c r="E102" s="31" t="n">
        <x:v>2</x:v>
      </x:c>
      <x:c r="F102" s="31" t="str">
        <x:f>"A00078 "&amp;UNICHAR(8594)&amp;" A00012 "&amp;UNICHAR(8594)&amp;" A00069"</x:f>
        <x:v>A00078 → A00012 → A00069</x:v>
      </x:c>
      <x:c r="G102" s="31" t="n">
        <x:v>281</x:v>
      </x:c>
      <x:c r="H102" s="35" t="n">
        <x:v>42409827.3</x:v>
      </x:c>
      <x:c r="I102" s="36" t="str">
        <x:v>2025-12-09T11:28:37.000</x:v>
      </x:c>
      <x:c r="J102" s="31" t="str">
        <x:f>UNICHAR(26159)</x:f>
        <x:v>是</x:v>
      </x:c>
      <x:c r="K102" s="31" t="n">
        <x:v>0</x:v>
      </x:c>
      <x:c r="L102" s="31" t="str">
        <x:f>"2"&amp;UNICHAR(36339)&amp;UNICHAR(20851)&amp;UNICHAR(31995)&amp;UNICHAR(65307)&amp;UNICHAR(36335)&amp;UNICHAR(24452)&amp;UNICHAR(32047)&amp;UNICHAR(35745)&amp;"281"&amp;UNICHAR(31508)&amp;UNICHAR(65307)&amp;UNICHAR(32047)&amp;UNICHAR(35745)&amp;UNICHAR(32477)&amp;UNICHAR(23545)&amp;UNICHAR(37329)&amp;UNICHAR(39069)&amp;"42,409,827.30"&amp;UNICHAR(20803)&amp;UNICHAR(65307)&amp;UNICHAR(26368)&amp;UNICHAR(36817)&amp;UNICHAR(20132)&amp;UNICHAR(26131)&amp;"2025-12-09 11:28:37"&amp;UNICHAR(65307)&amp;UNICHAR(21516)&amp;UNICHAR(31038)&amp;UNICHAR(21306)&amp;"="&amp;UNICHAR(26159)&amp;UNICHAR(65307)&amp;UNICHAR(21452)&amp;UNICHAR(21521)&amp;UNICHAR(20851)&amp;UNICHAR(31995)&amp;"0"&amp;UNICHAR(26465)</x:f>
        <x:v>2跳关系；路径累计281笔；累计绝对金额42,409,827.30元；最近交易2025-12-09 11:28:37；同社区=是；双向关系0条</x:v>
      </x:c>
      <x:c r="M102" s="34" t="str"/>
      <x:c r="N102" s="34" t="str"/>
      <x:c r="O102" s="34" t="str"/>
      <x:c r="P102" s="34" t="str"/>
      <x:c r="Q102" s="34" t="str"/>
      <x:c r="R102" s="34" t="str"/>
      <x:c r="S102" s="37" t="str"/>
    </x:row>
    <x:row r="103" ht="38" customHeight="1">
      <x:c r="A103" s="31" t="str">
        <x:v>LINK-049</x:v>
      </x:c>
      <x:c r="B103" s="31" t="str">
        <x:v>B</x:v>
      </x:c>
      <x:c r="C103" s="31" t="str">
        <x:v>A00078</x:v>
      </x:c>
      <x:c r="D103" s="31" t="str">
        <x:v>A00069</x:v>
      </x:c>
      <x:c r="E103" s="31" t="n">
        <x:v>2</x:v>
      </x:c>
      <x:c r="F103" s="31" t="str">
        <x:f>"A00078 "&amp;UNICHAR(8594)&amp;" A00012 "&amp;UNICHAR(8594)&amp;" A00069"</x:f>
        <x:v>A00078 → A00012 → A00069</x:v>
      </x:c>
      <x:c r="G103" s="31" t="n">
        <x:v>281</x:v>
      </x:c>
      <x:c r="H103" s="35" t="n">
        <x:v>42409827.3</x:v>
      </x:c>
      <x:c r="I103" s="36" t="str">
        <x:v>2025-12-09T11:28:37.000</x:v>
      </x:c>
      <x:c r="J103" s="31" t="str">
        <x:f>UNICHAR(26159)</x:f>
        <x:v>是</x:v>
      </x:c>
      <x:c r="K103" s="31" t="n">
        <x:v>0</x:v>
      </x:c>
      <x:c r="L103" s="31" t="str">
        <x:f>"2"&amp;UNICHAR(36339)&amp;UNICHAR(20851)&amp;UNICHAR(31995)&amp;UNICHAR(65307)&amp;UNICHAR(36335)&amp;UNICHAR(24452)&amp;UNICHAR(32047)&amp;UNICHAR(35745)&amp;"281"&amp;UNICHAR(31508)&amp;UNICHAR(65307)&amp;UNICHAR(32047)&amp;UNICHAR(35745)&amp;UNICHAR(32477)&amp;UNICHAR(23545)&amp;UNICHAR(37329)&amp;UNICHAR(39069)&amp;"42,409,827.30"&amp;UNICHAR(20803)&amp;UNICHAR(65307)&amp;UNICHAR(26368)&amp;UNICHAR(36817)&amp;UNICHAR(20132)&amp;UNICHAR(26131)&amp;"2025-12-09 11:28:37"&amp;UNICHAR(65307)&amp;UNICHAR(21516)&amp;UNICHAR(31038)&amp;UNICHAR(21306)&amp;"="&amp;UNICHAR(26159)&amp;UNICHAR(65307)&amp;UNICHAR(21452)&amp;UNICHAR(21521)&amp;UNICHAR(20851)&amp;UNICHAR(31995)&amp;"0"&amp;UNICHAR(26465)</x:f>
        <x:v>2跳关系；路径累计281笔；累计绝对金额42,409,827.30元；最近交易2025-12-09 11:28:37；同社区=是；双向关系0条</x:v>
      </x:c>
      <x:c r="M103" s="34" t="str"/>
      <x:c r="N103" s="34" t="str"/>
      <x:c r="O103" s="34" t="str"/>
      <x:c r="P103" s="34" t="str"/>
      <x:c r="Q103" s="34" t="str"/>
      <x:c r="R103" s="34" t="str"/>
      <x:c r="S103" s="37" t="str"/>
    </x:row>
    <x:row r="104" ht="38" customHeight="1">
      <x:c r="A104" s="31" t="str">
        <x:v>LINK-050</x:v>
      </x:c>
      <x:c r="B104" s="31" t="str">
        <x:v>A</x:v>
      </x:c>
      <x:c r="C104" s="31" t="str">
        <x:v>A00004</x:v>
      </x:c>
      <x:c r="D104" s="31" t="str">
        <x:v>A00079</x:v>
      </x:c>
      <x:c r="E104" s="31" t="n">
        <x:v>1</x:v>
      </x:c>
      <x:c r="F104" s="31" t="str">
        <x:f>"A00004 "&amp;UNICHAR(8594)&amp;" A00079"</x:f>
        <x:v>A00004 → A00079</x:v>
      </x:c>
      <x:c r="G104" s="31" t="n">
        <x:v>3</x:v>
      </x:c>
      <x:c r="H104" s="35" t="n">
        <x:v>9414.44</x:v>
      </x:c>
      <x:c r="I104" s="36" t="str">
        <x:v>2025-12-24T16:35:05.000</x:v>
      </x:c>
      <x:c r="J104" s="31" t="str">
        <x:f>UNICHAR(26159)</x:f>
        <x:v>是</x:v>
      </x:c>
      <x:c r="K104" s="31" t="n">
        <x:v>0</x:v>
      </x:c>
      <x:c r="L104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9,414.44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1跳关系；路径累计3笔；累计绝对金额9,414.44元；最近交易2025-12-24 16:35:05；同社区=是；双向关系0条</x:v>
      </x:c>
      <x:c r="M104" s="34" t="str"/>
      <x:c r="N104" s="34" t="str"/>
      <x:c r="O104" s="34" t="str"/>
      <x:c r="P104" s="34" t="str"/>
      <x:c r="Q104" s="34" t="str"/>
      <x:c r="R104" s="34" t="str"/>
      <x:c r="S104" s="37" t="str"/>
    </x:row>
    <x:row r="105" ht="38" customHeight="1">
      <x:c r="A105" s="31" t="str">
        <x:v>LINK-050</x:v>
      </x:c>
      <x:c r="B105" s="31" t="str">
        <x:v>B</x:v>
      </x:c>
      <x:c r="C105" s="31" t="str">
        <x:v>A00004</x:v>
      </x:c>
      <x:c r="D105" s="31" t="str">
        <x:v>A00079</x:v>
      </x:c>
      <x:c r="E105" s="31" t="n">
        <x:v>1</x:v>
      </x:c>
      <x:c r="F105" s="31" t="str">
        <x:f>"A00004 "&amp;UNICHAR(8594)&amp;" A00079"</x:f>
        <x:v>A00004 → A00079</x:v>
      </x:c>
      <x:c r="G105" s="31" t="n">
        <x:v>3</x:v>
      </x:c>
      <x:c r="H105" s="35" t="n">
        <x:v>9414.44</x:v>
      </x:c>
      <x:c r="I105" s="36" t="str">
        <x:v>2025-12-24T16:35:05.000</x:v>
      </x:c>
      <x:c r="J105" s="31" t="str">
        <x:f>UNICHAR(26159)</x:f>
        <x:v>是</x:v>
      </x:c>
      <x:c r="K105" s="31" t="n">
        <x:v>0</x:v>
      </x:c>
      <x:c r="L105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9,414.44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1跳关系；路径累计3笔；累计绝对金额9,414.44元；最近交易2025-12-24 16:35:05；同社区=是；双向关系0条</x:v>
      </x:c>
      <x:c r="M105" s="34" t="str"/>
      <x:c r="N105" s="34" t="str"/>
      <x:c r="O105" s="34" t="str"/>
      <x:c r="P105" s="34" t="str"/>
      <x:c r="Q105" s="34" t="str"/>
      <x:c r="R105" s="34" t="str"/>
      <x:c r="S105" s="37" t="str"/>
    </x:row>
    <x:row r="106" ht="38" customHeight="1">
      <x:c r="A106" s="31" t="str">
        <x:v>LINK-051</x:v>
      </x:c>
      <x:c r="B106" s="31" t="str">
        <x:v>A</x:v>
      </x:c>
      <x:c r="C106" s="31" t="str">
        <x:v>A00045</x:v>
      </x:c>
      <x:c r="D106" s="31" t="str">
        <x:v>A00062</x:v>
      </x:c>
      <x:c r="E106" s="31" t="n">
        <x:v>3</x:v>
      </x:c>
      <x:c r="F106" s="31" t="str">
        <x:f>"A00045 "&amp;UNICHAR(8594)&amp;" A00074 "&amp;UNICHAR(8594)&amp;" A00056 "&amp;UNICHAR(8594)&amp;" A00062"</x:f>
        <x:v>A00045 → A00074 → A00056 → A00062</x:v>
      </x:c>
      <x:c r="G106" s="31" t="n">
        <x:v>272</x:v>
      </x:c>
      <x:c r="H106" s="35" t="n">
        <x:v>4422246717.18</x:v>
      </x:c>
      <x:c r="I106" s="36" t="str">
        <x:v>2025-12-31T15:32:57.000</x:v>
      </x:c>
      <x:c r="J106" s="31" t="str">
        <x:f>UNICHAR(26159)</x:f>
        <x:v>是</x:v>
      </x:c>
      <x:c r="K106" s="31" t="n">
        <x:v>3</x:v>
      </x:c>
      <x:c r="L106" s="31" t="str">
        <x:f>"3"&amp;UNICHAR(36339)&amp;UNICHAR(20851)&amp;UNICHAR(31995)&amp;UNICHAR(65307)&amp;UNICHAR(36335)&amp;UNICHAR(24452)&amp;UNICHAR(32047)&amp;UNICHAR(35745)&amp;"272"&amp;UNICHAR(31508)&amp;UNICHAR(65307)&amp;UNICHAR(32047)&amp;UNICHAR(35745)&amp;UNICHAR(32477)&amp;UNICHAR(23545)&amp;UNICHAR(37329)&amp;UNICHAR(39069)&amp;"4,422,246,717.18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3跳关系；路径累计272笔；累计绝对金额4,422,246,717.18元；最近交易2025-12-31 15:32:57；同社区=是；双向关系3条</x:v>
      </x:c>
      <x:c r="M106" s="34" t="str"/>
      <x:c r="N106" s="34" t="str"/>
      <x:c r="O106" s="34" t="str"/>
      <x:c r="P106" s="34" t="str"/>
      <x:c r="Q106" s="34" t="str"/>
      <x:c r="R106" s="34" t="str"/>
      <x:c r="S106" s="37" t="str"/>
    </x:row>
    <x:row r="107" ht="38" customHeight="1">
      <x:c r="A107" s="31" t="str">
        <x:v>LINK-051</x:v>
      </x:c>
      <x:c r="B107" s="31" t="str">
        <x:v>B</x:v>
      </x:c>
      <x:c r="C107" s="31" t="str">
        <x:v>A00045</x:v>
      </x:c>
      <x:c r="D107" s="31" t="str">
        <x:v>A00062</x:v>
      </x:c>
      <x:c r="E107" s="31" t="n">
        <x:v>3</x:v>
      </x:c>
      <x:c r="F107" s="31" t="str">
        <x:f>"A00045 "&amp;UNICHAR(8594)&amp;" A00074 "&amp;UNICHAR(8594)&amp;" A00056 "&amp;UNICHAR(8594)&amp;" A00062"</x:f>
        <x:v>A00045 → A00074 → A00056 → A00062</x:v>
      </x:c>
      <x:c r="G107" s="31" t="n">
        <x:v>272</x:v>
      </x:c>
      <x:c r="H107" s="35" t="n">
        <x:v>4422246717.18</x:v>
      </x:c>
      <x:c r="I107" s="36" t="str">
        <x:v>2025-12-31T15:32:57.000</x:v>
      </x:c>
      <x:c r="J107" s="31" t="str">
        <x:f>UNICHAR(26159)</x:f>
        <x:v>是</x:v>
      </x:c>
      <x:c r="K107" s="31" t="n">
        <x:v>3</x:v>
      </x:c>
      <x:c r="L107" s="31" t="str">
        <x:f>"3"&amp;UNICHAR(36339)&amp;UNICHAR(20851)&amp;UNICHAR(31995)&amp;UNICHAR(65307)&amp;UNICHAR(36335)&amp;UNICHAR(24452)&amp;UNICHAR(32047)&amp;UNICHAR(35745)&amp;"272"&amp;UNICHAR(31508)&amp;UNICHAR(65307)&amp;UNICHAR(32047)&amp;UNICHAR(35745)&amp;UNICHAR(32477)&amp;UNICHAR(23545)&amp;UNICHAR(37329)&amp;UNICHAR(39069)&amp;"4,422,246,717.18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3跳关系；路径累计272笔；累计绝对金额4,422,246,717.18元；最近交易2025-12-31 15:32:57；同社区=是；双向关系3条</x:v>
      </x:c>
      <x:c r="M107" s="34" t="str"/>
      <x:c r="N107" s="34" t="str"/>
      <x:c r="O107" s="34" t="str"/>
      <x:c r="P107" s="34" t="str"/>
      <x:c r="Q107" s="34" t="str"/>
      <x:c r="R107" s="34" t="str"/>
      <x:c r="S107" s="37" t="str"/>
    </x:row>
    <x:row r="108" ht="38" customHeight="1">
      <x:c r="A108" s="31" t="str">
        <x:v>LINK-052</x:v>
      </x:c>
      <x:c r="B108" s="31" t="str">
        <x:v>A</x:v>
      </x:c>
      <x:c r="C108" s="31" t="str">
        <x:v>A00004</x:v>
      </x:c>
      <x:c r="D108" s="31" t="str">
        <x:v>A00067</x:v>
      </x:c>
      <x:c r="E108" s="31" t="n">
        <x:v>2</x:v>
      </x:c>
      <x:c r="F108" s="31" t="str">
        <x:f>"A00004 "&amp;UNICHAR(8594)&amp;" A00079 "&amp;UNICHAR(8594)&amp;" A00067"</x:f>
        <x:v>A00004 → A00079 → A00067</x:v>
      </x:c>
      <x:c r="G108" s="31" t="n">
        <x:v>34</x:v>
      </x:c>
      <x:c r="H108" s="35" t="n">
        <x:v>24690187.200000003</x:v>
      </x:c>
      <x:c r="I108" s="36" t="str">
        <x:v>2025-12-24T16:35:05.000</x:v>
      </x:c>
      <x:c r="J108" s="31" t="str">
        <x:f>UNICHAR(26159)</x:f>
        <x:v>是</x:v>
      </x:c>
      <x:c r="K108" s="31" t="n">
        <x:v>1</x:v>
      </x:c>
      <x:c r="L108" s="31" t="str">
        <x:f>"2"&amp;UNICHAR(36339)&amp;UNICHAR(20851)&amp;UNICHAR(31995)&amp;UNICHAR(65307)&amp;UNICHAR(36335)&amp;UNICHAR(24452)&amp;UNICHAR(32047)&amp;UNICHAR(35745)&amp;"34"&amp;UNICHAR(31508)&amp;UNICHAR(65307)&amp;UNICHAR(32047)&amp;UNICHAR(35745)&amp;UNICHAR(32477)&amp;UNICHAR(23545)&amp;UNICHAR(37329)&amp;UNICHAR(39069)&amp;"24,690,187.20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16:35:05"&amp;UNICHAR(65307)&amp;UNICHAR(21516)&amp;UNICHAR(31038)&amp;UNICHAR(21306)&amp;"="&amp;UNICHAR(26159)&amp;UNICHAR(65307)&amp;UNICHAR(21452)&amp;UNICHAR(21521)&amp;UNICHAR(20851)&amp;UNICHAR(31995)&amp;"1"&amp;UNICHAR(26465)</x:f>
        <x:v>2跳关系；路径累计34笔；累计绝对金额24,690,187.20元；最近交易2025-12-24 16:35:05；同社区=是；双向关系1条</x:v>
      </x:c>
      <x:c r="M108" s="34" t="str"/>
      <x:c r="N108" s="34" t="str"/>
      <x:c r="O108" s="34" t="str"/>
      <x:c r="P108" s="34" t="str"/>
      <x:c r="Q108" s="34" t="str"/>
      <x:c r="R108" s="34" t="str"/>
      <x:c r="S108" s="37" t="str"/>
    </x:row>
    <x:row r="109" ht="38" customHeight="1">
      <x:c r="A109" s="31" t="str">
        <x:v>LINK-052</x:v>
      </x:c>
      <x:c r="B109" s="31" t="str">
        <x:v>B</x:v>
      </x:c>
      <x:c r="C109" s="31" t="str">
        <x:v>A00004</x:v>
      </x:c>
      <x:c r="D109" s="31" t="str">
        <x:v>A00067</x:v>
      </x:c>
      <x:c r="E109" s="31" t="n">
        <x:v>2</x:v>
      </x:c>
      <x:c r="F109" s="31" t="str">
        <x:f>"A00004 "&amp;UNICHAR(8594)&amp;" A00079 "&amp;UNICHAR(8594)&amp;" A00067"</x:f>
        <x:v>A00004 → A00079 → A00067</x:v>
      </x:c>
      <x:c r="G109" s="31" t="n">
        <x:v>34</x:v>
      </x:c>
      <x:c r="H109" s="35" t="n">
        <x:v>24690187.200000003</x:v>
      </x:c>
      <x:c r="I109" s="36" t="str">
        <x:v>2025-12-24T16:35:05.000</x:v>
      </x:c>
      <x:c r="J109" s="31" t="str">
        <x:f>UNICHAR(26159)</x:f>
        <x:v>是</x:v>
      </x:c>
      <x:c r="K109" s="31" t="n">
        <x:v>1</x:v>
      </x:c>
      <x:c r="L109" s="31" t="str">
        <x:f>"2"&amp;UNICHAR(36339)&amp;UNICHAR(20851)&amp;UNICHAR(31995)&amp;UNICHAR(65307)&amp;UNICHAR(36335)&amp;UNICHAR(24452)&amp;UNICHAR(32047)&amp;UNICHAR(35745)&amp;"34"&amp;UNICHAR(31508)&amp;UNICHAR(65307)&amp;UNICHAR(32047)&amp;UNICHAR(35745)&amp;UNICHAR(32477)&amp;UNICHAR(23545)&amp;UNICHAR(37329)&amp;UNICHAR(39069)&amp;"24,690,187.20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16:35:05"&amp;UNICHAR(65307)&amp;UNICHAR(21516)&amp;UNICHAR(31038)&amp;UNICHAR(21306)&amp;"="&amp;UNICHAR(26159)&amp;UNICHAR(65307)&amp;UNICHAR(21452)&amp;UNICHAR(21521)&amp;UNICHAR(20851)&amp;UNICHAR(31995)&amp;"1"&amp;UNICHAR(26465)</x:f>
        <x:v>2跳关系；路径累计34笔；累计绝对金额24,690,187.20元；最近交易2025-12-24 16:35:05；同社区=是；双向关系1条</x:v>
      </x:c>
      <x:c r="M109" s="34" t="str"/>
      <x:c r="N109" s="34" t="str"/>
      <x:c r="O109" s="34" t="str"/>
      <x:c r="P109" s="34" t="str"/>
      <x:c r="Q109" s="34" t="str"/>
      <x:c r="R109" s="34" t="str"/>
      <x:c r="S109" s="37" t="str"/>
    </x:row>
    <x:row r="110" ht="38" customHeight="1">
      <x:c r="A110" s="31" t="str">
        <x:v>LINK-053</x:v>
      </x:c>
      <x:c r="B110" s="31" t="str">
        <x:v>A</x:v>
      </x:c>
      <x:c r="C110" s="31" t="str">
        <x:v>A00045</x:v>
      </x:c>
      <x:c r="D110" s="31" t="str">
        <x:v>A00025</x:v>
      </x:c>
      <x:c r="E110" s="31" t="n">
        <x:v>3</x:v>
      </x:c>
      <x:c r="F110" s="31" t="str">
        <x:f>"A00045 "&amp;UNICHAR(8594)&amp;" A00074 "&amp;UNICHAR(8594)&amp;" A00056 "&amp;UNICHAR(8594)&amp;" A00025"</x:f>
        <x:v>A00045 → A00074 → A00056 → A00025</x:v>
      </x:c>
      <x:c r="G110" s="31" t="n">
        <x:v>194</x:v>
      </x:c>
      <x:c r="H110" s="35" t="n">
        <x:v>18324853613.33</x:v>
      </x:c>
      <x:c r="I110" s="36" t="str">
        <x:v>2025-12-31T15:32:57.000</x:v>
      </x:c>
      <x:c r="J110" s="31" t="str">
        <x:f>UNICHAR(26159)</x:f>
        <x:v>是</x:v>
      </x:c>
      <x:c r="K110" s="31" t="n">
        <x:v>3</x:v>
      </x:c>
      <x:c r="L110" s="31" t="str">
        <x:f>"3"&amp;UNICHAR(36339)&amp;UNICHAR(20851)&amp;UNICHAR(31995)&amp;UNICHAR(65307)&amp;UNICHAR(36335)&amp;UNICHAR(24452)&amp;UNICHAR(32047)&amp;UNICHAR(35745)&amp;"194"&amp;UNICHAR(31508)&amp;UNICHAR(65307)&amp;UNICHAR(32047)&amp;UNICHAR(35745)&amp;UNICHAR(32477)&amp;UNICHAR(23545)&amp;UNICHAR(37329)&amp;UNICHAR(39069)&amp;"18,324,853,613.33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3跳关系；路径累计194笔；累计绝对金额18,324,853,613.33元；最近交易2025-12-31 15:32:57；同社区=是；双向关系3条</x:v>
      </x:c>
      <x:c r="M110" s="34" t="str"/>
      <x:c r="N110" s="34" t="str"/>
      <x:c r="O110" s="34" t="str"/>
      <x:c r="P110" s="34" t="str"/>
      <x:c r="Q110" s="34" t="str"/>
      <x:c r="R110" s="34" t="str"/>
      <x:c r="S110" s="37" t="str"/>
    </x:row>
    <x:row r="111" ht="38" customHeight="1">
      <x:c r="A111" s="31" t="str">
        <x:v>LINK-053</x:v>
      </x:c>
      <x:c r="B111" s="31" t="str">
        <x:v>B</x:v>
      </x:c>
      <x:c r="C111" s="31" t="str">
        <x:v>A00045</x:v>
      </x:c>
      <x:c r="D111" s="31" t="str">
        <x:v>A00025</x:v>
      </x:c>
      <x:c r="E111" s="31" t="n">
        <x:v>3</x:v>
      </x:c>
      <x:c r="F111" s="31" t="str">
        <x:f>"A00045 "&amp;UNICHAR(8594)&amp;" A00074 "&amp;UNICHAR(8594)&amp;" A00056 "&amp;UNICHAR(8594)&amp;" A00025"</x:f>
        <x:v>A00045 → A00074 → A00056 → A00025</x:v>
      </x:c>
      <x:c r="G111" s="31" t="n">
        <x:v>194</x:v>
      </x:c>
      <x:c r="H111" s="35" t="n">
        <x:v>18324853613.33</x:v>
      </x:c>
      <x:c r="I111" s="36" t="str">
        <x:v>2025-12-31T15:32:57.000</x:v>
      </x:c>
      <x:c r="J111" s="31" t="str">
        <x:f>UNICHAR(26159)</x:f>
        <x:v>是</x:v>
      </x:c>
      <x:c r="K111" s="31" t="n">
        <x:v>3</x:v>
      </x:c>
      <x:c r="L111" s="31" t="str">
        <x:f>"3"&amp;UNICHAR(36339)&amp;UNICHAR(20851)&amp;UNICHAR(31995)&amp;UNICHAR(65307)&amp;UNICHAR(36335)&amp;UNICHAR(24452)&amp;UNICHAR(32047)&amp;UNICHAR(35745)&amp;"194"&amp;UNICHAR(31508)&amp;UNICHAR(65307)&amp;UNICHAR(32047)&amp;UNICHAR(35745)&amp;UNICHAR(32477)&amp;UNICHAR(23545)&amp;UNICHAR(37329)&amp;UNICHAR(39069)&amp;"18,324,853,613.33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3跳关系；路径累计194笔；累计绝对金额18,324,853,613.33元；最近交易2025-12-31 15:32:57；同社区=是；双向关系3条</x:v>
      </x:c>
      <x:c r="M111" s="34" t="str"/>
      <x:c r="N111" s="34" t="str"/>
      <x:c r="O111" s="34" t="str"/>
      <x:c r="P111" s="34" t="str"/>
      <x:c r="Q111" s="34" t="str"/>
      <x:c r="R111" s="34" t="str"/>
      <x:c r="S111" s="37" t="str"/>
    </x:row>
    <x:row r="112" ht="38" customHeight="1">
      <x:c r="A112" s="31" t="str">
        <x:v>LINK-054</x:v>
      </x:c>
      <x:c r="B112" s="31" t="str">
        <x:v>A</x:v>
      </x:c>
      <x:c r="C112" s="31" t="str">
        <x:v>A00004</x:v>
      </x:c>
      <x:c r="D112" s="31" t="str">
        <x:v>A00039</x:v>
      </x:c>
      <x:c r="E112" s="31" t="n">
        <x:v>3</x:v>
      </x:c>
      <x:c r="F112" s="31" t="str">
        <x:f>"A00004 "&amp;UNICHAR(8594)&amp;" A00079 "&amp;UNICHAR(8594)&amp;" A00032 "&amp;UNICHAR(8594)&amp;" A00039"</x:f>
        <x:v>A00004 → A00079 → A00032 → A00039</x:v>
      </x:c>
      <x:c r="G112" s="31" t="n">
        <x:v>395</x:v>
      </x:c>
      <x:c r="H112" s="35" t="n">
        <x:v>40280694.269999996</x:v>
      </x:c>
      <x:c r="I112" s="36" t="str">
        <x:v>2025-12-29T14:10:33.000</x:v>
      </x:c>
      <x:c r="J112" s="31" t="str">
        <x:f>UNICHAR(26159)</x:f>
        <x:v>是</x:v>
      </x:c>
      <x:c r="K112" s="31" t="n">
        <x:v>0</x:v>
      </x:c>
      <x:c r="L112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40,280,694.27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3跳关系；路径累计395笔；累计绝对金额40,280,694.27元；最近交易2025-12-29 14:10:33；同社区=是；双向关系0条</x:v>
      </x:c>
      <x:c r="M112" s="34" t="str"/>
      <x:c r="N112" s="34" t="str"/>
      <x:c r="O112" s="34" t="str"/>
      <x:c r="P112" s="34" t="str"/>
      <x:c r="Q112" s="34" t="str"/>
      <x:c r="R112" s="34" t="str"/>
      <x:c r="S112" s="37" t="str"/>
    </x:row>
    <x:row r="113" ht="38" customHeight="1">
      <x:c r="A113" s="31" t="str">
        <x:v>LINK-054</x:v>
      </x:c>
      <x:c r="B113" s="31" t="str">
        <x:v>B</x:v>
      </x:c>
      <x:c r="C113" s="31" t="str">
        <x:v>A00004</x:v>
      </x:c>
      <x:c r="D113" s="31" t="str">
        <x:v>A00039</x:v>
      </x:c>
      <x:c r="E113" s="31" t="n">
        <x:v>3</x:v>
      </x:c>
      <x:c r="F113" s="31" t="str">
        <x:f>"A00004 "&amp;UNICHAR(8594)&amp;" A00079 "&amp;UNICHAR(8594)&amp;" A00032 "&amp;UNICHAR(8594)&amp;" A00039"</x:f>
        <x:v>A00004 → A00079 → A00032 → A00039</x:v>
      </x:c>
      <x:c r="G113" s="31" t="n">
        <x:v>395</x:v>
      </x:c>
      <x:c r="H113" s="35" t="n">
        <x:v>40280694.269999996</x:v>
      </x:c>
      <x:c r="I113" s="36" t="str">
        <x:v>2025-12-29T14:10:33.000</x:v>
      </x:c>
      <x:c r="J113" s="31" t="str">
        <x:f>UNICHAR(26159)</x:f>
        <x:v>是</x:v>
      </x:c>
      <x:c r="K113" s="31" t="n">
        <x:v>0</x:v>
      </x:c>
      <x:c r="L113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40,280,694.27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3跳关系；路径累计395笔；累计绝对金额40,280,694.27元；最近交易2025-12-29 14:10:33；同社区=是；双向关系0条</x:v>
      </x:c>
      <x:c r="M113" s="34" t="str"/>
      <x:c r="N113" s="34" t="str"/>
      <x:c r="O113" s="34" t="str"/>
      <x:c r="P113" s="34" t="str"/>
      <x:c r="Q113" s="34" t="str"/>
      <x:c r="R113" s="34" t="str"/>
      <x:c r="S113" s="37" t="str"/>
    </x:row>
    <x:row r="114" ht="38" customHeight="1">
      <x:c r="A114" s="31" t="str">
        <x:v>LINK-055</x:v>
      </x:c>
      <x:c r="B114" s="31" t="str">
        <x:v>A</x:v>
      </x:c>
      <x:c r="C114" s="31" t="str">
        <x:v>A00004</x:v>
      </x:c>
      <x:c r="D114" s="31" t="str">
        <x:v>A00049</x:v>
      </x:c>
      <x:c r="E114" s="31" t="n">
        <x:v>3</x:v>
      </x:c>
      <x:c r="F114" s="31" t="str">
        <x:f>"A00004 "&amp;UNICHAR(8594)&amp;" A00079 "&amp;UNICHAR(8594)&amp;" A00032 "&amp;UNICHAR(8594)&amp;" A00049"</x:f>
        <x:v>A00004 → A00079 → A00032 → A00049</x:v>
      </x:c>
      <x:c r="G114" s="31" t="n">
        <x:v>394</x:v>
      </x:c>
      <x:c r="H114" s="35" t="n">
        <x:v>40088794.61</x:v>
      </x:c>
      <x:c r="I114" s="36" t="str">
        <x:v>2025-12-29T14:10:33.000</x:v>
      </x:c>
      <x:c r="J114" s="31" t="str">
        <x:f>UNICHAR(26159)</x:f>
        <x:v>是</x:v>
      </x:c>
      <x:c r="K114" s="31" t="n">
        <x:v>0</x:v>
      </x:c>
      <x:c r="L114" s="31" t="str">
        <x:f>"3"&amp;UNICHAR(36339)&amp;UNICHAR(20851)&amp;UNICHAR(31995)&amp;UNICHAR(65307)&amp;UNICHAR(36335)&amp;UNICHAR(24452)&amp;UNICHAR(32047)&amp;UNICHAR(35745)&amp;"394"&amp;UNICHAR(31508)&amp;UNICHAR(65307)&amp;UNICHAR(32047)&amp;UNICHAR(35745)&amp;UNICHAR(32477)&amp;UNICHAR(23545)&amp;UNICHAR(37329)&amp;UNICHAR(39069)&amp;"40,088,794.61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3跳关系；路径累计394笔；累计绝对金额40,088,794.61元；最近交易2025-12-29 14:10:33；同社区=是；双向关系0条</x:v>
      </x:c>
      <x:c r="M114" s="34" t="str"/>
      <x:c r="N114" s="34" t="str"/>
      <x:c r="O114" s="34" t="str"/>
      <x:c r="P114" s="34" t="str"/>
      <x:c r="Q114" s="34" t="str"/>
      <x:c r="R114" s="34" t="str"/>
      <x:c r="S114" s="37" t="str"/>
    </x:row>
    <x:row r="115" ht="38" customHeight="1">
      <x:c r="A115" s="31" t="str">
        <x:v>LINK-055</x:v>
      </x:c>
      <x:c r="B115" s="31" t="str">
        <x:v>B</x:v>
      </x:c>
      <x:c r="C115" s="31" t="str">
        <x:v>A00004</x:v>
      </x:c>
      <x:c r="D115" s="31" t="str">
        <x:v>A00049</x:v>
      </x:c>
      <x:c r="E115" s="31" t="n">
        <x:v>3</x:v>
      </x:c>
      <x:c r="F115" s="31" t="str">
        <x:f>"A00004 "&amp;UNICHAR(8594)&amp;" A00079 "&amp;UNICHAR(8594)&amp;" A00032 "&amp;UNICHAR(8594)&amp;" A00049"</x:f>
        <x:v>A00004 → A00079 → A00032 → A00049</x:v>
      </x:c>
      <x:c r="G115" s="31" t="n">
        <x:v>394</x:v>
      </x:c>
      <x:c r="H115" s="35" t="n">
        <x:v>40088794.61</x:v>
      </x:c>
      <x:c r="I115" s="36" t="str">
        <x:v>2025-12-29T14:10:33.000</x:v>
      </x:c>
      <x:c r="J115" s="31" t="str">
        <x:f>UNICHAR(26159)</x:f>
        <x:v>是</x:v>
      </x:c>
      <x:c r="K115" s="31" t="n">
        <x:v>0</x:v>
      </x:c>
      <x:c r="L115" s="31" t="str">
        <x:f>"3"&amp;UNICHAR(36339)&amp;UNICHAR(20851)&amp;UNICHAR(31995)&amp;UNICHAR(65307)&amp;UNICHAR(36335)&amp;UNICHAR(24452)&amp;UNICHAR(32047)&amp;UNICHAR(35745)&amp;"394"&amp;UNICHAR(31508)&amp;UNICHAR(65307)&amp;UNICHAR(32047)&amp;UNICHAR(35745)&amp;UNICHAR(32477)&amp;UNICHAR(23545)&amp;UNICHAR(37329)&amp;UNICHAR(39069)&amp;"40,088,794.61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3跳关系；路径累计394笔；累计绝对金额40,088,794.61元；最近交易2025-12-29 14:10:33；同社区=是；双向关系0条</x:v>
      </x:c>
      <x:c r="M115" s="34" t="str"/>
      <x:c r="N115" s="34" t="str"/>
      <x:c r="O115" s="34" t="str"/>
      <x:c r="P115" s="34" t="str"/>
      <x:c r="Q115" s="34" t="str"/>
      <x:c r="R115" s="34" t="str"/>
      <x:c r="S115" s="37" t="str"/>
    </x:row>
    <x:row r="116" ht="38" customHeight="1">
      <x:c r="A116" s="31" t="str">
        <x:v>LINK-056</x:v>
      </x:c>
      <x:c r="B116" s="31" t="str">
        <x:v>A</x:v>
      </x:c>
      <x:c r="C116" s="31" t="str">
        <x:v>A00078</x:v>
      </x:c>
      <x:c r="D116" s="31" t="str">
        <x:v>A00036</x:v>
      </x:c>
      <x:c r="E116" s="31" t="n">
        <x:v>2</x:v>
      </x:c>
      <x:c r="F116" s="31" t="str">
        <x:f>"A00078 "&amp;UNICHAR(8594)&amp;" A00012 "&amp;UNICHAR(8594)&amp;" A00036"</x:f>
        <x:v>A00078 → A00012 → A00036</x:v>
      </x:c>
      <x:c r="G116" s="31" t="n">
        <x:v>104</x:v>
      </x:c>
      <x:c r="H116" s="35" t="n">
        <x:v>16481797.9</x:v>
      </x:c>
      <x:c r="I116" s="36" t="str">
        <x:v>2025-12-17T15:04:33.000</x:v>
      </x:c>
      <x:c r="J116" s="31" t="str">
        <x:f>UNICHAR(26159)</x:f>
        <x:v>是</x:v>
      </x:c>
      <x:c r="K116" s="31" t="n">
        <x:v>0</x:v>
      </x:c>
      <x:c r="L116" s="31" t="str">
        <x:f>"2"&amp;UNICHAR(36339)&amp;UNICHAR(20851)&amp;UNICHAR(31995)&amp;UNICHAR(65307)&amp;UNICHAR(36335)&amp;UNICHAR(24452)&amp;UNICHAR(32047)&amp;UNICHAR(35745)&amp;"104"&amp;UNICHAR(31508)&amp;UNICHAR(65307)&amp;UNICHAR(32047)&amp;UNICHAR(35745)&amp;UNICHAR(32477)&amp;UNICHAR(23545)&amp;UNICHAR(37329)&amp;UNICHAR(39069)&amp;"16,481,797.90"&amp;UNICHAR(20803)&amp;UNICHAR(65307)&amp;UNICHAR(26368)&amp;UNICHAR(36817)&amp;UNICHAR(20132)&amp;UNICHAR(26131)&amp;"2025-12-17 15:04:33"&amp;UNICHAR(65307)&amp;UNICHAR(21516)&amp;UNICHAR(31038)&amp;UNICHAR(21306)&amp;"="&amp;UNICHAR(26159)&amp;UNICHAR(65307)&amp;UNICHAR(21452)&amp;UNICHAR(21521)&amp;UNICHAR(20851)&amp;UNICHAR(31995)&amp;"0"&amp;UNICHAR(26465)</x:f>
        <x:v>2跳关系；路径累计104笔；累计绝对金额16,481,797.90元；最近交易2025-12-17 15:04:33；同社区=是；双向关系0条</x:v>
      </x:c>
      <x:c r="M116" s="34" t="str"/>
      <x:c r="N116" s="34" t="str"/>
      <x:c r="O116" s="34" t="str"/>
      <x:c r="P116" s="34" t="str"/>
      <x:c r="Q116" s="34" t="str"/>
      <x:c r="R116" s="34" t="str"/>
      <x:c r="S116" s="37" t="str"/>
    </x:row>
    <x:row r="117" ht="38" customHeight="1">
      <x:c r="A117" s="31" t="str">
        <x:v>LINK-056</x:v>
      </x:c>
      <x:c r="B117" s="31" t="str">
        <x:v>B</x:v>
      </x:c>
      <x:c r="C117" s="31" t="str">
        <x:v>A00078</x:v>
      </x:c>
      <x:c r="D117" s="31" t="str">
        <x:v>A00036</x:v>
      </x:c>
      <x:c r="E117" s="31" t="n">
        <x:v>2</x:v>
      </x:c>
      <x:c r="F117" s="31" t="str">
        <x:f>"A00078 "&amp;UNICHAR(8594)&amp;" A00012 "&amp;UNICHAR(8594)&amp;" A00036"</x:f>
        <x:v>A00078 → A00012 → A00036</x:v>
      </x:c>
      <x:c r="G117" s="31" t="n">
        <x:v>104</x:v>
      </x:c>
      <x:c r="H117" s="35" t="n">
        <x:v>16481797.9</x:v>
      </x:c>
      <x:c r="I117" s="36" t="str">
        <x:v>2025-12-17T15:04:33.000</x:v>
      </x:c>
      <x:c r="J117" s="31" t="str">
        <x:f>UNICHAR(26159)</x:f>
        <x:v>是</x:v>
      </x:c>
      <x:c r="K117" s="31" t="n">
        <x:v>0</x:v>
      </x:c>
      <x:c r="L117" s="31" t="str">
        <x:f>"2"&amp;UNICHAR(36339)&amp;UNICHAR(20851)&amp;UNICHAR(31995)&amp;UNICHAR(65307)&amp;UNICHAR(36335)&amp;UNICHAR(24452)&amp;UNICHAR(32047)&amp;UNICHAR(35745)&amp;"104"&amp;UNICHAR(31508)&amp;UNICHAR(65307)&amp;UNICHAR(32047)&amp;UNICHAR(35745)&amp;UNICHAR(32477)&amp;UNICHAR(23545)&amp;UNICHAR(37329)&amp;UNICHAR(39069)&amp;"16,481,797.90"&amp;UNICHAR(20803)&amp;UNICHAR(65307)&amp;UNICHAR(26368)&amp;UNICHAR(36817)&amp;UNICHAR(20132)&amp;UNICHAR(26131)&amp;"2025-12-17 15:04:33"&amp;UNICHAR(65307)&amp;UNICHAR(21516)&amp;UNICHAR(31038)&amp;UNICHAR(21306)&amp;"="&amp;UNICHAR(26159)&amp;UNICHAR(65307)&amp;UNICHAR(21452)&amp;UNICHAR(21521)&amp;UNICHAR(20851)&amp;UNICHAR(31995)&amp;"0"&amp;UNICHAR(26465)</x:f>
        <x:v>2跳关系；路径累计104笔；累计绝对金额16,481,797.90元；最近交易2025-12-17 15:04:33；同社区=是；双向关系0条</x:v>
      </x:c>
      <x:c r="M117" s="34" t="str"/>
      <x:c r="N117" s="34" t="str"/>
      <x:c r="O117" s="34" t="str"/>
      <x:c r="P117" s="34" t="str"/>
      <x:c r="Q117" s="34" t="str"/>
      <x:c r="R117" s="34" t="str"/>
      <x:c r="S117" s="37" t="str"/>
    </x:row>
    <x:row r="118" ht="38" customHeight="1">
      <x:c r="A118" s="31" t="str">
        <x:v>LINK-057</x:v>
      </x:c>
      <x:c r="B118" s="31" t="str">
        <x:v>A</x:v>
      </x:c>
      <x:c r="C118" s="31" t="str">
        <x:v>A00045</x:v>
      </x:c>
      <x:c r="D118" s="31" t="str">
        <x:v>A00085</x:v>
      </x:c>
      <x:c r="E118" s="31" t="n">
        <x:v>3</x:v>
      </x:c>
      <x:c r="F118" s="31" t="str">
        <x:f>"A00045 "&amp;UNICHAR(8594)&amp;" A00074 "&amp;UNICHAR(8594)&amp;" A00056 "&amp;UNICHAR(8594)&amp;" A00085"</x:f>
        <x:v>A00045 → A00074 → A00056 → A00085</x:v>
      </x:c>
      <x:c r="G118" s="31" t="n">
        <x:v>389</x:v>
      </x:c>
      <x:c r="H118" s="35" t="n">
        <x:v>10422384731.73</x:v>
      </x:c>
      <x:c r="I118" s="36" t="str">
        <x:v>2025-12-31T16:19:57.000</x:v>
      </x:c>
      <x:c r="J118" s="31" t="str">
        <x:f>UNICHAR(26159)</x:f>
        <x:v>是</x:v>
      </x:c>
      <x:c r="K118" s="31" t="n">
        <x:v>3</x:v>
      </x:c>
      <x:c r="L118" s="31" t="str">
        <x:f>"3"&amp;UNICHAR(36339)&amp;UNICHAR(20851)&amp;UNICHAR(31995)&amp;UNICHAR(65307)&amp;UNICHAR(36335)&amp;UNICHAR(24452)&amp;UNICHAR(32047)&amp;UNICHAR(35745)&amp;"389"&amp;UNICHAR(31508)&amp;UNICHAR(65307)&amp;UNICHAR(32047)&amp;UNICHAR(35745)&amp;UNICHAR(32477)&amp;UNICHAR(23545)&amp;UNICHAR(37329)&amp;UNICHAR(39069)&amp;"10,422,384,731.73"&amp;UNICHAR(20803)&amp;UNICHAR(65307)&amp;UNICHAR(26368)&amp;UNICHAR(36817)&amp;UNICHAR(20132)&amp;UNICHAR(26131)&amp;"2025-12-31 16:19:57"&amp;UNICHAR(65307)&amp;UNICHAR(21516)&amp;UNICHAR(31038)&amp;UNICHAR(21306)&amp;"="&amp;UNICHAR(26159)&amp;UNICHAR(65307)&amp;UNICHAR(21452)&amp;UNICHAR(21521)&amp;UNICHAR(20851)&amp;UNICHAR(31995)&amp;"3"&amp;UNICHAR(26465)</x:f>
        <x:v>3跳关系；路径累计389笔；累计绝对金额10,422,384,731.73元；最近交易2025-12-31 16:19:57；同社区=是；双向关系3条</x:v>
      </x:c>
      <x:c r="M118" s="34" t="str"/>
      <x:c r="N118" s="34" t="str"/>
      <x:c r="O118" s="34" t="str"/>
      <x:c r="P118" s="34" t="str"/>
      <x:c r="Q118" s="34" t="str"/>
      <x:c r="R118" s="34" t="str"/>
      <x:c r="S118" s="37" t="str"/>
    </x:row>
    <x:row r="119" ht="38" customHeight="1">
      <x:c r="A119" s="31" t="str">
        <x:v>LINK-057</x:v>
      </x:c>
      <x:c r="B119" s="31" t="str">
        <x:v>B</x:v>
      </x:c>
      <x:c r="C119" s="31" t="str">
        <x:v>A00045</x:v>
      </x:c>
      <x:c r="D119" s="31" t="str">
        <x:v>A00085</x:v>
      </x:c>
      <x:c r="E119" s="31" t="n">
        <x:v>3</x:v>
      </x:c>
      <x:c r="F119" s="31" t="str">
        <x:f>"A00045 "&amp;UNICHAR(8594)&amp;" A00074 "&amp;UNICHAR(8594)&amp;" A00056 "&amp;UNICHAR(8594)&amp;" A00085"</x:f>
        <x:v>A00045 → A00074 → A00056 → A00085</x:v>
      </x:c>
      <x:c r="G119" s="31" t="n">
        <x:v>389</x:v>
      </x:c>
      <x:c r="H119" s="35" t="n">
        <x:v>10422384731.73</x:v>
      </x:c>
      <x:c r="I119" s="36" t="str">
        <x:v>2025-12-31T16:19:57.000</x:v>
      </x:c>
      <x:c r="J119" s="31" t="str">
        <x:f>UNICHAR(26159)</x:f>
        <x:v>是</x:v>
      </x:c>
      <x:c r="K119" s="31" t="n">
        <x:v>3</x:v>
      </x:c>
      <x:c r="L119" s="31" t="str">
        <x:f>"3"&amp;UNICHAR(36339)&amp;UNICHAR(20851)&amp;UNICHAR(31995)&amp;UNICHAR(65307)&amp;UNICHAR(36335)&amp;UNICHAR(24452)&amp;UNICHAR(32047)&amp;UNICHAR(35745)&amp;"389"&amp;UNICHAR(31508)&amp;UNICHAR(65307)&amp;UNICHAR(32047)&amp;UNICHAR(35745)&amp;UNICHAR(32477)&amp;UNICHAR(23545)&amp;UNICHAR(37329)&amp;UNICHAR(39069)&amp;"10,422,384,731.73"&amp;UNICHAR(20803)&amp;UNICHAR(65307)&amp;UNICHAR(26368)&amp;UNICHAR(36817)&amp;UNICHAR(20132)&amp;UNICHAR(26131)&amp;"2025-12-31 16:19:57"&amp;UNICHAR(65307)&amp;UNICHAR(21516)&amp;UNICHAR(31038)&amp;UNICHAR(21306)&amp;"="&amp;UNICHAR(26159)&amp;UNICHAR(65307)&amp;UNICHAR(21452)&amp;UNICHAR(21521)&amp;UNICHAR(20851)&amp;UNICHAR(31995)&amp;"3"&amp;UNICHAR(26465)</x:f>
        <x:v>3跳关系；路径累计389笔；累计绝对金额10,422,384,731.73元；最近交易2025-12-31 16:19:57；同社区=是；双向关系3条</x:v>
      </x:c>
      <x:c r="M119" s="34" t="str"/>
      <x:c r="N119" s="34" t="str"/>
      <x:c r="O119" s="34" t="str"/>
      <x:c r="P119" s="34" t="str"/>
      <x:c r="Q119" s="34" t="str"/>
      <x:c r="R119" s="34" t="str"/>
      <x:c r="S119" s="37" t="str"/>
    </x:row>
    <x:row r="120" ht="38" customHeight="1">
      <x:c r="A120" s="31" t="str">
        <x:v>LINK-058</x:v>
      </x:c>
      <x:c r="B120" s="31" t="str">
        <x:v>A</x:v>
      </x:c>
      <x:c r="C120" s="31" t="str">
        <x:v>A00004</x:v>
      </x:c>
      <x:c r="D120" s="31" t="str">
        <x:v>A00029</x:v>
      </x:c>
      <x:c r="E120" s="31" t="n">
        <x:v>2</x:v>
      </x:c>
      <x:c r="F120" s="31" t="str">
        <x:f>"A00004 "&amp;UNICHAR(8594)&amp;" A00079 "&amp;UNICHAR(8594)&amp;" A00029"</x:f>
        <x:v>A00004 → A00079 → A00029</x:v>
      </x:c>
      <x:c r="G120" s="31" t="n">
        <x:v>392</x:v>
      </x:c>
      <x:c r="H120" s="35" t="n">
        <x:v>39626745.61</x:v>
      </x:c>
      <x:c r="I120" s="36" t="str">
        <x:v>2025-12-29T14:10:33.000</x:v>
      </x:c>
      <x:c r="J120" s="31" t="str">
        <x:f>UNICHAR(26159)</x:f>
        <x:v>是</x:v>
      </x:c>
      <x:c r="K120" s="31" t="n">
        <x:v>0</x:v>
      </x:c>
      <x:c r="L120" s="31" t="str">
        <x:f>"2"&amp;UNICHAR(36339)&amp;UNICHAR(20851)&amp;UNICHAR(31995)&amp;UNICHAR(65307)&amp;UNICHAR(36335)&amp;UNICHAR(24452)&amp;UNICHAR(32047)&amp;UNICHAR(35745)&amp;"392"&amp;UNICHAR(31508)&amp;UNICHAR(65307)&amp;UNICHAR(32047)&amp;UNICHAR(35745)&amp;UNICHAR(32477)&amp;UNICHAR(23545)&amp;UNICHAR(37329)&amp;UNICHAR(39069)&amp;"39,626,745.61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2跳关系；路径累计392笔；累计绝对金额39,626,745.61元；最近交易2025-12-29 14:10:33；同社区=是；双向关系0条</x:v>
      </x:c>
      <x:c r="M120" s="34" t="str"/>
      <x:c r="N120" s="34" t="str"/>
      <x:c r="O120" s="34" t="str"/>
      <x:c r="P120" s="34" t="str"/>
      <x:c r="Q120" s="34" t="str"/>
      <x:c r="R120" s="34" t="str"/>
      <x:c r="S120" s="37" t="str"/>
    </x:row>
    <x:row r="121" ht="38" customHeight="1">
      <x:c r="A121" s="31" t="str">
        <x:v>LINK-058</x:v>
      </x:c>
      <x:c r="B121" s="31" t="str">
        <x:v>B</x:v>
      </x:c>
      <x:c r="C121" s="31" t="str">
        <x:v>A00004</x:v>
      </x:c>
      <x:c r="D121" s="31" t="str">
        <x:v>A00029</x:v>
      </x:c>
      <x:c r="E121" s="31" t="n">
        <x:v>2</x:v>
      </x:c>
      <x:c r="F121" s="31" t="str">
        <x:f>"A00004 "&amp;UNICHAR(8594)&amp;" A00079 "&amp;UNICHAR(8594)&amp;" A00029"</x:f>
        <x:v>A00004 → A00079 → A00029</x:v>
      </x:c>
      <x:c r="G121" s="31" t="n">
        <x:v>392</x:v>
      </x:c>
      <x:c r="H121" s="35" t="n">
        <x:v>39626745.61</x:v>
      </x:c>
      <x:c r="I121" s="36" t="str">
        <x:v>2025-12-29T14:10:33.000</x:v>
      </x:c>
      <x:c r="J121" s="31" t="str">
        <x:f>UNICHAR(26159)</x:f>
        <x:v>是</x:v>
      </x:c>
      <x:c r="K121" s="31" t="n">
        <x:v>0</x:v>
      </x:c>
      <x:c r="L121" s="31" t="str">
        <x:f>"2"&amp;UNICHAR(36339)&amp;UNICHAR(20851)&amp;UNICHAR(31995)&amp;UNICHAR(65307)&amp;UNICHAR(36335)&amp;UNICHAR(24452)&amp;UNICHAR(32047)&amp;UNICHAR(35745)&amp;"392"&amp;UNICHAR(31508)&amp;UNICHAR(65307)&amp;UNICHAR(32047)&amp;UNICHAR(35745)&amp;UNICHAR(32477)&amp;UNICHAR(23545)&amp;UNICHAR(37329)&amp;UNICHAR(39069)&amp;"39,626,745.61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2跳关系；路径累计392笔；累计绝对金额39,626,745.61元；最近交易2025-12-29 14:10:33；同社区=是；双向关系0条</x:v>
      </x:c>
      <x:c r="M121" s="34" t="str"/>
      <x:c r="N121" s="34" t="str"/>
      <x:c r="O121" s="34" t="str"/>
      <x:c r="P121" s="34" t="str"/>
      <x:c r="Q121" s="34" t="str"/>
      <x:c r="R121" s="34" t="str"/>
      <x:c r="S121" s="37" t="str"/>
    </x:row>
    <x:row r="122" ht="38" customHeight="1">
      <x:c r="A122" s="31" t="str">
        <x:v>LINK-059</x:v>
      </x:c>
      <x:c r="B122" s="31" t="str">
        <x:v>A</x:v>
      </x:c>
      <x:c r="C122" s="31" t="str">
        <x:v>A00004</x:v>
      </x:c>
      <x:c r="D122" s="31" t="str">
        <x:v>A00001</x:v>
      </x:c>
      <x:c r="E122" s="31" t="n">
        <x:v>3</x:v>
      </x:c>
      <x:c r="F122" s="31" t="str">
        <x:f>"A00004 "&amp;UNICHAR(8594)&amp;" A00079 "&amp;UNICHAR(8594)&amp;" A00032 "&amp;UNICHAR(8594)&amp;" A00001"</x:f>
        <x:v>A00004 → A00079 → A00032 → A00001</x:v>
      </x:c>
      <x:c r="G122" s="31" t="n">
        <x:v>396</x:v>
      </x:c>
      <x:c r="H122" s="35" t="n">
        <x:v>40732745.61</x:v>
      </x:c>
      <x:c r="I122" s="36" t="str">
        <x:v>2025-12-30T11:16:58.000</x:v>
      </x:c>
      <x:c r="J122" s="31" t="str">
        <x:f>UNICHAR(26159)</x:f>
        <x:v>是</x:v>
      </x:c>
      <x:c r="K122" s="31" t="n">
        <x:v>0</x:v>
      </x:c>
      <x:c r="L122" s="31" t="str">
        <x:f>"3"&amp;UNICHAR(36339)&amp;UNICHAR(20851)&amp;UNICHAR(31995)&amp;UNICHAR(65307)&amp;UNICHAR(36335)&amp;UNICHAR(24452)&amp;UNICHAR(32047)&amp;UNICHAR(35745)&amp;"396"&amp;UNICHAR(31508)&amp;UNICHAR(65307)&amp;UNICHAR(32047)&amp;UNICHAR(35745)&amp;UNICHAR(32477)&amp;UNICHAR(23545)&amp;UNICHAR(37329)&amp;UNICHAR(39069)&amp;"40,732,745.61"&amp;UNICHAR(20803)&amp;UNICHAR(65307)&amp;UNICHAR(26368)&amp;UNICHAR(36817)&amp;UNICHAR(20132)&amp;UNICHAR(26131)&amp;"2025-12-30 11:16:58"&amp;UNICHAR(65307)&amp;UNICHAR(21516)&amp;UNICHAR(31038)&amp;UNICHAR(21306)&amp;"="&amp;UNICHAR(26159)&amp;UNICHAR(65307)&amp;UNICHAR(21452)&amp;UNICHAR(21521)&amp;UNICHAR(20851)&amp;UNICHAR(31995)&amp;"0"&amp;UNICHAR(26465)</x:f>
        <x:v>3跳关系；路径累计396笔；累计绝对金额40,732,745.61元；最近交易2025-12-30 11:16:58；同社区=是；双向关系0条</x:v>
      </x:c>
      <x:c r="M122" s="34" t="str"/>
      <x:c r="N122" s="34" t="str"/>
      <x:c r="O122" s="34" t="str"/>
      <x:c r="P122" s="34" t="str"/>
      <x:c r="Q122" s="34" t="str"/>
      <x:c r="R122" s="34" t="str"/>
      <x:c r="S122" s="37" t="str"/>
    </x:row>
    <x:row r="123" ht="38" customHeight="1">
      <x:c r="A123" s="31" t="str">
        <x:v>LINK-059</x:v>
      </x:c>
      <x:c r="B123" s="31" t="str">
        <x:v>B</x:v>
      </x:c>
      <x:c r="C123" s="31" t="str">
        <x:v>A00004</x:v>
      </x:c>
      <x:c r="D123" s="31" t="str">
        <x:v>A00001</x:v>
      </x:c>
      <x:c r="E123" s="31" t="n">
        <x:v>3</x:v>
      </x:c>
      <x:c r="F123" s="31" t="str">
        <x:f>"A00004 "&amp;UNICHAR(8594)&amp;" A00079 "&amp;UNICHAR(8594)&amp;" A00032 "&amp;UNICHAR(8594)&amp;" A00001"</x:f>
        <x:v>A00004 → A00079 → A00032 → A00001</x:v>
      </x:c>
      <x:c r="G123" s="31" t="n">
        <x:v>396</x:v>
      </x:c>
      <x:c r="H123" s="35" t="n">
        <x:v>40732745.61</x:v>
      </x:c>
      <x:c r="I123" s="36" t="str">
        <x:v>2025-12-30T11:16:58.000</x:v>
      </x:c>
      <x:c r="J123" s="31" t="str">
        <x:f>UNICHAR(26159)</x:f>
        <x:v>是</x:v>
      </x:c>
      <x:c r="K123" s="31" t="n">
        <x:v>0</x:v>
      </x:c>
      <x:c r="L123" s="31" t="str">
        <x:f>"3"&amp;UNICHAR(36339)&amp;UNICHAR(20851)&amp;UNICHAR(31995)&amp;UNICHAR(65307)&amp;UNICHAR(36335)&amp;UNICHAR(24452)&amp;UNICHAR(32047)&amp;UNICHAR(35745)&amp;"396"&amp;UNICHAR(31508)&amp;UNICHAR(65307)&amp;UNICHAR(32047)&amp;UNICHAR(35745)&amp;UNICHAR(32477)&amp;UNICHAR(23545)&amp;UNICHAR(37329)&amp;UNICHAR(39069)&amp;"40,732,745.61"&amp;UNICHAR(20803)&amp;UNICHAR(65307)&amp;UNICHAR(26368)&amp;UNICHAR(36817)&amp;UNICHAR(20132)&amp;UNICHAR(26131)&amp;"2025-12-30 11:16:58"&amp;UNICHAR(65307)&amp;UNICHAR(21516)&amp;UNICHAR(31038)&amp;UNICHAR(21306)&amp;"="&amp;UNICHAR(26159)&amp;UNICHAR(65307)&amp;UNICHAR(21452)&amp;UNICHAR(21521)&amp;UNICHAR(20851)&amp;UNICHAR(31995)&amp;"0"&amp;UNICHAR(26465)</x:f>
        <x:v>3跳关系；路径累计396笔；累计绝对金额40,732,745.61元；最近交易2025-12-30 11:16:58；同社区=是；双向关系0条</x:v>
      </x:c>
      <x:c r="M123" s="34" t="str"/>
      <x:c r="N123" s="34" t="str"/>
      <x:c r="O123" s="34" t="str"/>
      <x:c r="P123" s="34" t="str"/>
      <x:c r="Q123" s="34" t="str"/>
      <x:c r="R123" s="34" t="str"/>
      <x:c r="S123" s="37" t="str"/>
    </x:row>
    <x:row r="124" ht="38" customHeight="1">
      <x:c r="A124" s="31" t="str">
        <x:v>LINK-060</x:v>
      </x:c>
      <x:c r="B124" s="31" t="str">
        <x:v>A</x:v>
      </x:c>
      <x:c r="C124" s="31" t="str">
        <x:v>A00022</x:v>
      </x:c>
      <x:c r="D124" s="31" t="str">
        <x:v>A00063</x:v>
      </x:c>
      <x:c r="E124" s="31" t="n">
        <x:v>2</x:v>
      </x:c>
      <x:c r="F124" s="31" t="str">
        <x:f>"A00022 "&amp;UNICHAR(8594)&amp;" A00091 "&amp;UNICHAR(8594)&amp;" A00063"</x:f>
        <x:v>A00022 → A00091 → A00063</x:v>
      </x:c>
      <x:c r="G124" s="31" t="n">
        <x:v>9</x:v>
      </x:c>
      <x:c r="H124" s="35" t="n">
        <x:v>94332</x:v>
      </x:c>
      <x:c r="I124" s="36" t="str">
        <x:v>2025-12-22T14:30:24.000</x:v>
      </x:c>
      <x:c r="J124" s="31" t="str">
        <x:f>UNICHAR(26159)</x:f>
        <x:v>是</x:v>
      </x:c>
      <x:c r="K124" s="31" t="n">
        <x:v>0</x:v>
      </x:c>
      <x:c r="L124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94,332.00"&amp;UNICHAR(20803)&amp;UNICHAR(65307)&amp;UNICHAR(26368)&amp;UNICHAR(36817)&amp;UNICHAR(20132)&amp;UNICHAR(26131)&amp;"2025-12-22 14:30:24"&amp;UNICHAR(65307)&amp;UNICHAR(21516)&amp;UNICHAR(31038)&amp;UNICHAR(21306)&amp;"="&amp;UNICHAR(26159)&amp;UNICHAR(65307)&amp;UNICHAR(21452)&amp;UNICHAR(21521)&amp;UNICHAR(20851)&amp;UNICHAR(31995)&amp;"0"&amp;UNICHAR(26465)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2跳关系；路径累计9笔；累计绝对金额94,332.00元；最近交易2025-12-22 14:30:24；同社区=是；双向关系0条</x:v>
      </x:c>
      <x:c r="M124" s="34" t="str"/>
      <x:c r="N124" s="34" t="str"/>
      <x:c r="O124" s="34" t="str"/>
      <x:c r="P124" s="34" t="str"/>
      <x:c r="Q124" s="34" t="str"/>
      <x:c r="R124" s="34" t="str"/>
      <x:c r="S124" s="37" t="str"/>
    </x:row>
    <x:row r="125" ht="38" customHeight="1">
      <x:c r="A125" s="31" t="str">
        <x:v>LINK-060</x:v>
      </x:c>
      <x:c r="B125" s="31" t="str">
        <x:v>B</x:v>
      </x:c>
      <x:c r="C125" s="31" t="str">
        <x:v>A00022</x:v>
      </x:c>
      <x:c r="D125" s="31" t="str">
        <x:v>A00063</x:v>
      </x:c>
      <x:c r="E125" s="31" t="n">
        <x:v>2</x:v>
      </x:c>
      <x:c r="F125" s="31" t="str">
        <x:f>"A00022 "&amp;UNICHAR(8594)&amp;" A00091 "&amp;UNICHAR(8594)&amp;" A00063"</x:f>
        <x:v>A00022 → A00091 → A00063</x:v>
      </x:c>
      <x:c r="G125" s="31" t="n">
        <x:v>9</x:v>
      </x:c>
      <x:c r="H125" s="35" t="n">
        <x:v>94332</x:v>
      </x:c>
      <x:c r="I125" s="36" t="str">
        <x:v>2025-12-22T14:30:24.000</x:v>
      </x:c>
      <x:c r="J125" s="31" t="str">
        <x:f>UNICHAR(26159)</x:f>
        <x:v>是</x:v>
      </x:c>
      <x:c r="K125" s="31" t="n">
        <x:v>0</x:v>
      </x:c>
      <x:c r="L125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94,332.00"&amp;UNICHAR(20803)&amp;UNICHAR(65307)&amp;UNICHAR(26368)&amp;UNICHAR(36817)&amp;UNICHAR(20132)&amp;UNICHAR(26131)&amp;"2025-12-22 14:30:24"&amp;UNICHAR(65307)&amp;UNICHAR(21516)&amp;UNICHAR(31038)&amp;UNICHAR(21306)&amp;"="&amp;UNICHAR(26159)&amp;UNICHAR(65307)&amp;UNICHAR(21452)&amp;UNICHAR(21521)&amp;UNICHAR(20851)&amp;UNICHAR(31995)&amp;"0"&amp;UNICHAR(26465)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2跳关系；路径累计9笔；累计绝对金额94,332.00元；最近交易2025-12-22 14:30:24；同社区=是；双向关系0条</x:v>
      </x:c>
      <x:c r="M125" s="34" t="str"/>
      <x:c r="N125" s="34" t="str"/>
      <x:c r="O125" s="34" t="str"/>
      <x:c r="P125" s="34" t="str"/>
      <x:c r="Q125" s="34" t="str"/>
      <x:c r="R125" s="34" t="str"/>
      <x:c r="S125" s="37" t="str"/>
    </x:row>
    <x:row r="126" ht="38" customHeight="1">
      <x:c r="A126" s="31" t="str">
        <x:v>LINK-061</x:v>
      </x:c>
      <x:c r="B126" s="31" t="str">
        <x:v>A</x:v>
      </x:c>
      <x:c r="C126" s="31" t="str">
        <x:v>A00022</x:v>
      </x:c>
      <x:c r="D126" s="31" t="str">
        <x:v>A00066</x:v>
      </x:c>
      <x:c r="E126" s="31" t="n">
        <x:v>2</x:v>
      </x:c>
      <x:c r="F126" s="31" t="str">
        <x:f>"A00022 "&amp;UNICHAR(8594)&amp;" A00091 "&amp;UNICHAR(8594)&amp;" A00066"</x:f>
        <x:v>A00022 → A00091 → A00066</x:v>
      </x:c>
      <x:c r="G126" s="31" t="n">
        <x:v>178</x:v>
      </x:c>
      <x:c r="H126" s="35" t="n">
        <x:v>30916468</x:v>
      </x:c>
      <x:c r="I126" s="36" t="str">
        <x:v>2025-12-22T14:30:42.000</x:v>
      </x:c>
      <x:c r="J126" s="31" t="str">
        <x:f>UNICHAR(26159)</x:f>
        <x:v>是</x:v>
      </x:c>
      <x:c r="K126" s="31" t="n">
        <x:v>0</x:v>
      </x:c>
      <x:c r="L126" s="31" t="str">
        <x:f>"2"&amp;UNICHAR(36339)&amp;UNICHAR(20851)&amp;UNICHAR(31995)&amp;UNICHAR(65307)&amp;UNICHAR(36335)&amp;UNICHAR(24452)&amp;UNICHAR(32047)&amp;UNICHAR(35745)&amp;"178"&amp;UNICHAR(31508)&amp;UNICHAR(65307)&amp;UNICHAR(32047)&amp;UNICHAR(35745)&amp;UNICHAR(32477)&amp;UNICHAR(23545)&amp;UNICHAR(37329)&amp;UNICHAR(39069)&amp;"30,916,468.00"&amp;UNICHAR(20803)&amp;UNICHAR(65307)&amp;UNICHAR(26368)&amp;UNICHAR(36817)&amp;UNICHAR(20132)&amp;UNICHAR(26131)&amp;"2025-12-22 14:30:42"&amp;UNICHAR(65307)&amp;UNICHAR(21516)&amp;UNICHAR(31038)&amp;UNICHAR(21306)&amp;"="&amp;UNICHAR(26159)&amp;UNICHAR(65307)&amp;UNICHAR(21452)&amp;UNICHAR(21521)&amp;UNICHAR(20851)&amp;UNICHAR(31995)&amp;"0"&amp;UNICHAR(26465)</x:f>
        <x:v>2跳关系；路径累计178笔；累计绝对金额30,916,468.00元；最近交易2025-12-22 14:30:42；同社区=是；双向关系0条</x:v>
      </x:c>
      <x:c r="M126" s="34" t="str"/>
      <x:c r="N126" s="34" t="str"/>
      <x:c r="O126" s="34" t="str"/>
      <x:c r="P126" s="34" t="str"/>
      <x:c r="Q126" s="34" t="str"/>
      <x:c r="R126" s="34" t="str"/>
      <x:c r="S126" s="37" t="str"/>
    </x:row>
    <x:row r="127" ht="38" customHeight="1">
      <x:c r="A127" s="31" t="str">
        <x:v>LINK-061</x:v>
      </x:c>
      <x:c r="B127" s="31" t="str">
        <x:v>B</x:v>
      </x:c>
      <x:c r="C127" s="31" t="str">
        <x:v>A00022</x:v>
      </x:c>
      <x:c r="D127" s="31" t="str">
        <x:v>A00066</x:v>
      </x:c>
      <x:c r="E127" s="31" t="n">
        <x:v>2</x:v>
      </x:c>
      <x:c r="F127" s="31" t="str">
        <x:f>"A00022 "&amp;UNICHAR(8594)&amp;" A00091 "&amp;UNICHAR(8594)&amp;" A00066"</x:f>
        <x:v>A00022 → A00091 → A00066</x:v>
      </x:c>
      <x:c r="G127" s="31" t="n">
        <x:v>178</x:v>
      </x:c>
      <x:c r="H127" s="35" t="n">
        <x:v>30916468</x:v>
      </x:c>
      <x:c r="I127" s="36" t="str">
        <x:v>2025-12-22T14:30:42.000</x:v>
      </x:c>
      <x:c r="J127" s="31" t="str">
        <x:f>UNICHAR(26159)</x:f>
        <x:v>是</x:v>
      </x:c>
      <x:c r="K127" s="31" t="n">
        <x:v>0</x:v>
      </x:c>
      <x:c r="L127" s="31" t="str">
        <x:f>"2"&amp;UNICHAR(36339)&amp;UNICHAR(20851)&amp;UNICHAR(31995)&amp;UNICHAR(65307)&amp;UNICHAR(36335)&amp;UNICHAR(24452)&amp;UNICHAR(32047)&amp;UNICHAR(35745)&amp;"178"&amp;UNICHAR(31508)&amp;UNICHAR(65307)&amp;UNICHAR(32047)&amp;UNICHAR(35745)&amp;UNICHAR(32477)&amp;UNICHAR(23545)&amp;UNICHAR(37329)&amp;UNICHAR(39069)&amp;"30,916,468.00"&amp;UNICHAR(20803)&amp;UNICHAR(65307)&amp;UNICHAR(26368)&amp;UNICHAR(36817)&amp;UNICHAR(20132)&amp;UNICHAR(26131)&amp;"2025-12-22 14:30:42"&amp;UNICHAR(65307)&amp;UNICHAR(21516)&amp;UNICHAR(31038)&amp;UNICHAR(21306)&amp;"="&amp;UNICHAR(26159)&amp;UNICHAR(65307)&amp;UNICHAR(21452)&amp;UNICHAR(21521)&amp;UNICHAR(20851)&amp;UNICHAR(31995)&amp;"0"&amp;UNICHAR(26465)</x:f>
        <x:v>2跳关系；路径累计178笔；累计绝对金额30,916,468.00元；最近交易2025-12-22 14:30:42；同社区=是；双向关系0条</x:v>
      </x:c>
      <x:c r="M127" s="34" t="str"/>
      <x:c r="N127" s="34" t="str"/>
      <x:c r="O127" s="34" t="str"/>
      <x:c r="P127" s="34" t="str"/>
      <x:c r="Q127" s="34" t="str"/>
      <x:c r="R127" s="34" t="str"/>
      <x:c r="S127" s="37" t="str"/>
    </x:row>
    <x:row r="128" ht="38" customHeight="1">
      <x:c r="A128" s="31" t="str">
        <x:v>LINK-062</x:v>
      </x:c>
      <x:c r="B128" s="31" t="str">
        <x:v>A</x:v>
      </x:c>
      <x:c r="C128" s="31" t="str">
        <x:v>A00022</x:v>
      </x:c>
      <x:c r="D128" s="31" t="str">
        <x:v>A00018</x:v>
      </x:c>
      <x:c r="E128" s="31" t="n">
        <x:v>2</x:v>
      </x:c>
      <x:c r="F128" s="31" t="str">
        <x:f>"A00022 "&amp;UNICHAR(8594)&amp;" A00091 "&amp;UNICHAR(8594)&amp;" A00018"</x:f>
        <x:v>A00022 → A00091 → A00018</x:v>
      </x:c>
      <x:c r="G128" s="31" t="n">
        <x:v>11</x:v>
      </x:c>
      <x:c r="H128" s="35" t="n">
        <x:v>1979282.59</x:v>
      </x:c>
      <x:c r="I128" s="36" t="str">
        <x:v>2025-12-22T13:47:19.000</x:v>
      </x:c>
      <x:c r="J128" s="31" t="str">
        <x:f>UNICHAR(26159)</x:f>
        <x:v>是</x:v>
      </x:c>
      <x:c r="K128" s="31" t="n">
        <x:v>1</x:v>
      </x:c>
      <x:c r="L128" s="31" t="str">
        <x:f>"2"&amp;UNICHAR(36339)&amp;UNICHAR(20851)&amp;UNICHAR(31995)&amp;UNICHAR(65307)&amp;UNICHAR(36335)&amp;UNICHAR(24452)&amp;UNICHAR(32047)&amp;UNICHAR(35745)&amp;"11"&amp;UNICHAR(31508)&amp;UNICHAR(65307)&amp;UNICHAR(32047)&amp;UNICHAR(35745)&amp;UNICHAR(32477)&amp;UNICHAR(23545)&amp;UNICHAR(37329)&amp;UNICHAR(39069)&amp;"1,979,282.59"&amp;UNICHAR(20803)&amp;UNICHAR(65307)&amp;UNICHAR(26368)&amp;UNICHAR(36817)&amp;UNICHAR(20132)&amp;UNICHAR(26131)&amp;"2025-12-22 13:47:19"&amp;UNICHAR(65307)&amp;UNICHAR(21516)&amp;UNICHAR(31038)&amp;UNICHAR(21306)&amp;"="&amp;UNICHAR(26159)&amp;UNICHAR(65307)&amp;UNICHAR(21452)&amp;UNICHAR(21521)&amp;UNICHAR(20851)&amp;UNICHAR(31995)&amp;"1"&amp;UNICHAR(26465)</x:f>
        <x:v>2跳关系；路径累计11笔；累计绝对金额1,979,282.59元；最近交易2025-12-22 13:47:19；同社区=是；双向关系1条</x:v>
      </x:c>
      <x:c r="M128" s="34" t="str"/>
      <x:c r="N128" s="34" t="str"/>
      <x:c r="O128" s="34" t="str"/>
      <x:c r="P128" s="34" t="str"/>
      <x:c r="Q128" s="34" t="str"/>
      <x:c r="R128" s="34" t="str"/>
      <x:c r="S128" s="37" t="str"/>
    </x:row>
    <x:row r="129" ht="38" customHeight="1">
      <x:c r="A129" s="31" t="str">
        <x:v>LINK-062</x:v>
      </x:c>
      <x:c r="B129" s="31" t="str">
        <x:v>B</x:v>
      </x:c>
      <x:c r="C129" s="31" t="str">
        <x:v>A00022</x:v>
      </x:c>
      <x:c r="D129" s="31" t="str">
        <x:v>A00018</x:v>
      </x:c>
      <x:c r="E129" s="31" t="n">
        <x:v>2</x:v>
      </x:c>
      <x:c r="F129" s="31" t="str">
        <x:f>"A00022 "&amp;UNICHAR(8594)&amp;" A00091 "&amp;UNICHAR(8594)&amp;" A00018"</x:f>
        <x:v>A00022 → A00091 → A00018</x:v>
      </x:c>
      <x:c r="G129" s="31" t="n">
        <x:v>11</x:v>
      </x:c>
      <x:c r="H129" s="35" t="n">
        <x:v>1979282.59</x:v>
      </x:c>
      <x:c r="I129" s="36" t="str">
        <x:v>2025-12-22T13:47:19.000</x:v>
      </x:c>
      <x:c r="J129" s="31" t="str">
        <x:f>UNICHAR(26159)</x:f>
        <x:v>是</x:v>
      </x:c>
      <x:c r="K129" s="31" t="n">
        <x:v>1</x:v>
      </x:c>
      <x:c r="L129" s="31" t="str">
        <x:f>"2"&amp;UNICHAR(36339)&amp;UNICHAR(20851)&amp;UNICHAR(31995)&amp;UNICHAR(65307)&amp;UNICHAR(36335)&amp;UNICHAR(24452)&amp;UNICHAR(32047)&amp;UNICHAR(35745)&amp;"11"&amp;UNICHAR(31508)&amp;UNICHAR(65307)&amp;UNICHAR(32047)&amp;UNICHAR(35745)&amp;UNICHAR(32477)&amp;UNICHAR(23545)&amp;UNICHAR(37329)&amp;UNICHAR(39069)&amp;"1,979,282.59"&amp;UNICHAR(20803)&amp;UNICHAR(65307)&amp;UNICHAR(26368)&amp;UNICHAR(36817)&amp;UNICHAR(20132)&amp;UNICHAR(26131)&amp;"2025-12-22 13:47:19"&amp;UNICHAR(65307)&amp;UNICHAR(21516)&amp;UNICHAR(31038)&amp;UNICHAR(21306)&amp;"="&amp;UNICHAR(26159)&amp;UNICHAR(65307)&amp;UNICHAR(21452)&amp;UNICHAR(21521)&amp;UNICHAR(20851)&amp;UNICHAR(31995)&amp;"1"&amp;UNICHAR(26465)</x:f>
        <x:v>2跳关系；路径累计11笔；累计绝对金额1,979,282.59元；最近交易2025-12-22 13:47:19；同社区=是；双向关系1条</x:v>
      </x:c>
      <x:c r="M129" s="34" t="str"/>
      <x:c r="N129" s="34" t="str"/>
      <x:c r="O129" s="34" t="str"/>
      <x:c r="P129" s="34" t="str"/>
      <x:c r="Q129" s="34" t="str"/>
      <x:c r="R129" s="34" t="str"/>
      <x:c r="S129" s="37" t="str"/>
    </x:row>
    <x:row r="130" ht="38" customHeight="1">
      <x:c r="A130" s="31" t="str">
        <x:v>LINK-063</x:v>
      </x:c>
      <x:c r="B130" s="31" t="str">
        <x:v>A</x:v>
      </x:c>
      <x:c r="C130" s="31" t="str">
        <x:v>A00078</x:v>
      </x:c>
      <x:c r="D130" s="31" t="str">
        <x:v>A00014</x:v>
      </x:c>
      <x:c r="E130" s="31" t="n">
        <x:v>2</x:v>
      </x:c>
      <x:c r="F130" s="31" t="str">
        <x:f>"A00078 "&amp;UNICHAR(8594)&amp;" A00012 "&amp;UNICHAR(8594)&amp;" A00014"</x:f>
        <x:v>A00078 → A00012 → A00014</x:v>
      </x:c>
      <x:c r="G130" s="31" t="n">
        <x:v>10</x:v>
      </x:c>
      <x:c r="H130" s="35" t="n">
        <x:v>203340.16</x:v>
      </x:c>
      <x:c r="I130" s="36" t="str">
        <x:v>2025-12-29T14:26:56.000</x:v>
      </x:c>
      <x:c r="J130" s="31" t="str">
        <x:f>UNICHAR(26159)</x:f>
        <x:v>是</x:v>
      </x:c>
      <x:c r="K130" s="31" t="n">
        <x:v>1</x:v>
      </x:c>
      <x:c r="L130" s="31" t="str">
        <x:f>"2"&amp;UNICHAR(36339)&amp;UNICHAR(20851)&amp;UNICHAR(31995)&amp;UNICHAR(65307)&amp;UNICHAR(36335)&amp;UNICHAR(24452)&amp;UNICHAR(32047)&amp;UNICHAR(35745)&amp;"10"&amp;UNICHAR(31508)&amp;UNICHAR(65307)&amp;UNICHAR(32047)&amp;UNICHAR(35745)&amp;UNICHAR(32477)&amp;UNICHAR(23545)&amp;UNICHAR(37329)&amp;UNICHAR(39069)&amp;"203,340.16"&amp;UNICHAR(20803)&amp;UNICHAR(65307)&amp;UNICHAR(26368)&amp;UNICHAR(36817)&amp;UNICHAR(20132)&amp;UNICHAR(26131)&amp;"2025-12-29 14:26:56"&amp;UNICHAR(65307)&amp;UNICHAR(21516)&amp;UNICHAR(31038)&amp;UNICHAR(21306)&amp;"="&amp;UNICHAR(26159)&amp;UNICHAR(65307)&amp;UNICHAR(21452)&amp;UNICHAR(21521)&amp;UNICHAR(20851)&amp;UNICHAR(31995)&amp;"1"&amp;UNICHAR(26465)</x:f>
        <x:v>2跳关系；路径累计10笔；累计绝对金额203,340.16元；最近交易2025-12-29 14:26:56；同社区=是；双向关系1条</x:v>
      </x:c>
      <x:c r="M130" s="34" t="str"/>
      <x:c r="N130" s="34" t="str"/>
      <x:c r="O130" s="34" t="str"/>
      <x:c r="P130" s="34" t="str"/>
      <x:c r="Q130" s="34" t="str"/>
      <x:c r="R130" s="34" t="str"/>
      <x:c r="S130" s="37" t="str"/>
    </x:row>
    <x:row r="131" ht="38" customHeight="1">
      <x:c r="A131" s="31" t="str">
        <x:v>LINK-063</x:v>
      </x:c>
      <x:c r="B131" s="31" t="str">
        <x:v>B</x:v>
      </x:c>
      <x:c r="C131" s="31" t="str">
        <x:v>A00078</x:v>
      </x:c>
      <x:c r="D131" s="31" t="str">
        <x:v>A00014</x:v>
      </x:c>
      <x:c r="E131" s="31" t="n">
        <x:v>2</x:v>
      </x:c>
      <x:c r="F131" s="31" t="str">
        <x:f>"A00078 "&amp;UNICHAR(8594)&amp;" A00012 "&amp;UNICHAR(8594)&amp;" A00014"</x:f>
        <x:v>A00078 → A00012 → A00014</x:v>
      </x:c>
      <x:c r="G131" s="31" t="n">
        <x:v>10</x:v>
      </x:c>
      <x:c r="H131" s="35" t="n">
        <x:v>203340.16</x:v>
      </x:c>
      <x:c r="I131" s="36" t="str">
        <x:v>2025-12-29T14:26:56.000</x:v>
      </x:c>
      <x:c r="J131" s="31" t="str">
        <x:f>UNICHAR(26159)</x:f>
        <x:v>是</x:v>
      </x:c>
      <x:c r="K131" s="31" t="n">
        <x:v>1</x:v>
      </x:c>
      <x:c r="L131" s="31" t="str">
        <x:f>"2"&amp;UNICHAR(36339)&amp;UNICHAR(20851)&amp;UNICHAR(31995)&amp;UNICHAR(65307)&amp;UNICHAR(36335)&amp;UNICHAR(24452)&amp;UNICHAR(32047)&amp;UNICHAR(35745)&amp;"10"&amp;UNICHAR(31508)&amp;UNICHAR(65307)&amp;UNICHAR(32047)&amp;UNICHAR(35745)&amp;UNICHAR(32477)&amp;UNICHAR(23545)&amp;UNICHAR(37329)&amp;UNICHAR(39069)&amp;"203,340.16"&amp;UNICHAR(20803)&amp;UNICHAR(65307)&amp;UNICHAR(26368)&amp;UNICHAR(36817)&amp;UNICHAR(20132)&amp;UNICHAR(26131)&amp;"2025-12-29 14:26:56"&amp;UNICHAR(65307)&amp;UNICHAR(21516)&amp;UNICHAR(31038)&amp;UNICHAR(21306)&amp;"="&amp;UNICHAR(26159)&amp;UNICHAR(65307)&amp;UNICHAR(21452)&amp;UNICHAR(21521)&amp;UNICHAR(20851)&amp;UNICHAR(31995)&amp;"1"&amp;UNICHAR(26465)</x:f>
        <x:v>2跳关系；路径累计10笔；累计绝对金额203,340.16元；最近交易2025-12-29 14:26:56；同社区=是；双向关系1条</x:v>
      </x:c>
      <x:c r="M131" s="34" t="str"/>
      <x:c r="N131" s="34" t="str"/>
      <x:c r="O131" s="34" t="str"/>
      <x:c r="P131" s="34" t="str"/>
      <x:c r="Q131" s="34" t="str"/>
      <x:c r="R131" s="34" t="str"/>
      <x:c r="S131" s="37" t="str"/>
    </x:row>
    <x:row r="132" ht="38" customHeight="1">
      <x:c r="A132" s="31" t="str">
        <x:v>LINK-064</x:v>
      </x:c>
      <x:c r="B132" s="31" t="str">
        <x:v>A</x:v>
      </x:c>
      <x:c r="C132" s="31" t="str">
        <x:v>A00078</x:v>
      </x:c>
      <x:c r="D132" s="31" t="str">
        <x:v>A00081</x:v>
      </x:c>
      <x:c r="E132" s="31" t="n">
        <x:v>2</x:v>
      </x:c>
      <x:c r="F132" s="31" t="str">
        <x:f>"A00078 "&amp;UNICHAR(8594)&amp;" A00012 "&amp;UNICHAR(8594)&amp;" A00081"</x:f>
        <x:v>A00078 → A00012 → A00081</x:v>
      </x:c>
      <x:c r="G132" s="31" t="n">
        <x:v>17</x:v>
      </x:c>
      <x:c r="H132" s="35" t="n">
        <x:v>597905.9</x:v>
      </x:c>
      <x:c r="I132" s="36" t="str">
        <x:v>2025-12-10T10:08:24.000</x:v>
      </x:c>
      <x:c r="J132" s="31" t="str">
        <x:f>UNICHAR(26159)</x:f>
        <x:v>是</x:v>
      </x:c>
      <x:c r="K132" s="31" t="n">
        <x:v>0</x:v>
      </x:c>
      <x:c r="L132" s="31" t="str">
        <x:f>"2"&amp;UNICHAR(36339)&amp;UNICHAR(20851)&amp;UNICHAR(31995)&amp;UNICHAR(65307)&amp;UNICHAR(36335)&amp;UNICHAR(24452)&amp;UNICHAR(32047)&amp;UNICHAR(35745)&amp;"17"&amp;UNICHAR(31508)&amp;UNICHAR(65307)&amp;UNICHAR(32047)&amp;UNICHAR(35745)&amp;UNICHAR(32477)&amp;UNICHAR(23545)&amp;UNICHAR(37329)&amp;UNICHAR(39069)&amp;"597,905.90"&amp;UNICHAR(20803)&amp;UNICHAR(65307)&amp;UNICHAR(26368)&amp;UNICHAR(36817)&amp;UNICHAR(20132)&amp;UNICHAR(26131)&amp;"2025-12-10 10:08:24"&amp;UNICHAR(65307)&amp;UNICHAR(21516)&amp;UNICHAR(31038)&amp;UNICHAR(21306)&amp;"="&amp;UNICHAR(26159)&amp;UNICHAR(65307)&amp;UNICHAR(21452)&amp;UNICHAR(21521)&amp;UNICHAR(20851)&amp;UNICHAR(31995)&amp;"0"&amp;UNICHAR(26465)</x:f>
        <x:v>2跳关系；路径累计17笔；累计绝对金额597,905.90元；最近交易2025-12-10 10:08:24；同社区=是；双向关系0条</x:v>
      </x:c>
      <x:c r="M132" s="34" t="str"/>
      <x:c r="N132" s="34" t="str"/>
      <x:c r="O132" s="34" t="str"/>
      <x:c r="P132" s="34" t="str"/>
      <x:c r="Q132" s="34" t="str"/>
      <x:c r="R132" s="34" t="str"/>
      <x:c r="S132" s="37" t="str"/>
    </x:row>
    <x:row r="133" ht="38" customHeight="1">
      <x:c r="A133" s="31" t="str">
        <x:v>LINK-064</x:v>
      </x:c>
      <x:c r="B133" s="31" t="str">
        <x:v>B</x:v>
      </x:c>
      <x:c r="C133" s="31" t="str">
        <x:v>A00078</x:v>
      </x:c>
      <x:c r="D133" s="31" t="str">
        <x:v>A00081</x:v>
      </x:c>
      <x:c r="E133" s="31" t="n">
        <x:v>2</x:v>
      </x:c>
      <x:c r="F133" s="31" t="str">
        <x:f>"A00078 "&amp;UNICHAR(8594)&amp;" A00012 "&amp;UNICHAR(8594)&amp;" A00081"</x:f>
        <x:v>A00078 → A00012 → A00081</x:v>
      </x:c>
      <x:c r="G133" s="31" t="n">
        <x:v>17</x:v>
      </x:c>
      <x:c r="H133" s="35" t="n">
        <x:v>597905.9</x:v>
      </x:c>
      <x:c r="I133" s="36" t="str">
        <x:v>2025-12-10T10:08:24.000</x:v>
      </x:c>
      <x:c r="J133" s="31" t="str">
        <x:f>UNICHAR(26159)</x:f>
        <x:v>是</x:v>
      </x:c>
      <x:c r="K133" s="31" t="n">
        <x:v>0</x:v>
      </x:c>
      <x:c r="L133" s="31" t="str">
        <x:f>"2"&amp;UNICHAR(36339)&amp;UNICHAR(20851)&amp;UNICHAR(31995)&amp;UNICHAR(65307)&amp;UNICHAR(36335)&amp;UNICHAR(24452)&amp;UNICHAR(32047)&amp;UNICHAR(35745)&amp;"17"&amp;UNICHAR(31508)&amp;UNICHAR(65307)&amp;UNICHAR(32047)&amp;UNICHAR(35745)&amp;UNICHAR(32477)&amp;UNICHAR(23545)&amp;UNICHAR(37329)&amp;UNICHAR(39069)&amp;"597,905.90"&amp;UNICHAR(20803)&amp;UNICHAR(65307)&amp;UNICHAR(26368)&amp;UNICHAR(36817)&amp;UNICHAR(20132)&amp;UNICHAR(26131)&amp;"2025-12-10 10:08:24"&amp;UNICHAR(65307)&amp;UNICHAR(21516)&amp;UNICHAR(31038)&amp;UNICHAR(21306)&amp;"="&amp;UNICHAR(26159)&amp;UNICHAR(65307)&amp;UNICHAR(21452)&amp;UNICHAR(21521)&amp;UNICHAR(20851)&amp;UNICHAR(31995)&amp;"0"&amp;UNICHAR(26465)</x:f>
        <x:v>2跳关系；路径累计17笔；累计绝对金额597,905.90元；最近交易2025-12-10 10:08:24；同社区=是；双向关系0条</x:v>
      </x:c>
      <x:c r="M133" s="34" t="str"/>
      <x:c r="N133" s="34" t="str"/>
      <x:c r="O133" s="34" t="str"/>
      <x:c r="P133" s="34" t="str"/>
      <x:c r="Q133" s="34" t="str"/>
      <x:c r="R133" s="34" t="str"/>
      <x:c r="S133" s="37" t="str"/>
    </x:row>
    <x:row r="134" ht="38" customHeight="1">
      <x:c r="A134" s="31" t="str">
        <x:v>LINK-065</x:v>
      </x:c>
      <x:c r="B134" s="31" t="str">
        <x:v>A</x:v>
      </x:c>
      <x:c r="C134" s="31" t="str">
        <x:v>A00022</x:v>
      </x:c>
      <x:c r="D134" s="31" t="str">
        <x:v>A00015</x:v>
      </x:c>
      <x:c r="E134" s="31" t="n">
        <x:v>2</x:v>
      </x:c>
      <x:c r="F134" s="31" t="str">
        <x:f>"A00022 "&amp;UNICHAR(8594)&amp;" A00091 "&amp;UNICHAR(8594)&amp;" A00015"</x:f>
        <x:v>A00022 → A00091 → A00015</x:v>
      </x:c>
      <x:c r="G134" s="31" t="n">
        <x:v>9</x:v>
      </x:c>
      <x:c r="H134" s="35" t="n">
        <x:v>94332</x:v>
      </x:c>
      <x:c r="I134" s="36" t="str">
        <x:v>2025-12-22T14:30:24.000</x:v>
      </x:c>
      <x:c r="J134" s="31" t="str">
        <x:f>UNICHAR(26159)</x:f>
        <x:v>是</x:v>
      </x:c>
      <x:c r="K134" s="31" t="n">
        <x:v>0</x:v>
      </x:c>
      <x:c r="L134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94,332.00"&amp;UNICHAR(20803)&amp;UNICHAR(65307)&amp;UNICHAR(26368)&amp;UNICHAR(36817)&amp;UNICHAR(20132)&amp;UNICHAR(26131)&amp;"2025-12-22 14:30:24"&amp;UNICHAR(65307)&amp;UNICHAR(21516)&amp;UNICHAR(31038)&amp;UNICHAR(21306)&amp;"="&amp;UNICHAR(26159)&amp;UNICHAR(65307)&amp;UNICHAR(21452)&amp;UNICHAR(21521)&amp;UNICHAR(20851)&amp;UNICHAR(31995)&amp;"0"&amp;UNICHAR(26465)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2跳关系；路径累计9笔；累计绝对金额94,332.00元；最近交易2025-12-22 14:30:24；同社区=是；双向关系0条</x:v>
      </x:c>
      <x:c r="M134" s="34" t="str"/>
      <x:c r="N134" s="34" t="str"/>
      <x:c r="O134" s="34" t="str"/>
      <x:c r="P134" s="34" t="str"/>
      <x:c r="Q134" s="34" t="str"/>
      <x:c r="R134" s="34" t="str"/>
      <x:c r="S134" s="37" t="str"/>
    </x:row>
    <x:row r="135" ht="38" customHeight="1">
      <x:c r="A135" s="31" t="str">
        <x:v>LINK-065</x:v>
      </x:c>
      <x:c r="B135" s="31" t="str">
        <x:v>B</x:v>
      </x:c>
      <x:c r="C135" s="31" t="str">
        <x:v>A00022</x:v>
      </x:c>
      <x:c r="D135" s="31" t="str">
        <x:v>A00015</x:v>
      </x:c>
      <x:c r="E135" s="31" t="n">
        <x:v>2</x:v>
      </x:c>
      <x:c r="F135" s="31" t="str">
        <x:f>"A00022 "&amp;UNICHAR(8594)&amp;" A00091 "&amp;UNICHAR(8594)&amp;" A00015"</x:f>
        <x:v>A00022 → A00091 → A00015</x:v>
      </x:c>
      <x:c r="G135" s="31" t="n">
        <x:v>9</x:v>
      </x:c>
      <x:c r="H135" s="35" t="n">
        <x:v>94332</x:v>
      </x:c>
      <x:c r="I135" s="36" t="str">
        <x:v>2025-12-22T14:30:24.000</x:v>
      </x:c>
      <x:c r="J135" s="31" t="str">
        <x:f>UNICHAR(26159)</x:f>
        <x:v>是</x:v>
      </x:c>
      <x:c r="K135" s="31" t="n">
        <x:v>0</x:v>
      </x:c>
      <x:c r="L135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94,332.00"&amp;UNICHAR(20803)&amp;UNICHAR(65307)&amp;UNICHAR(26368)&amp;UNICHAR(36817)&amp;UNICHAR(20132)&amp;UNICHAR(26131)&amp;"2025-12-22 14:30:24"&amp;UNICHAR(65307)&amp;UNICHAR(21516)&amp;UNICHAR(31038)&amp;UNICHAR(21306)&amp;"="&amp;UNICHAR(26159)&amp;UNICHAR(65307)&amp;UNICHAR(21452)&amp;UNICHAR(21521)&amp;UNICHAR(20851)&amp;UNICHAR(31995)&amp;"0"&amp;UNICHAR(26465)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2跳关系；路径累计9笔；累计绝对金额94,332.00元；最近交易2025-12-22 14:30:24；同社区=是；双向关系0条</x:v>
      </x:c>
      <x:c r="M135" s="34" t="str"/>
      <x:c r="N135" s="34" t="str"/>
      <x:c r="O135" s="34" t="str"/>
      <x:c r="P135" s="34" t="str"/>
      <x:c r="Q135" s="34" t="str"/>
      <x:c r="R135" s="34" t="str"/>
      <x:c r="S135" s="37" t="str"/>
    </x:row>
    <x:row r="136" ht="38" customHeight="1">
      <x:c r="A136" s="31" t="str">
        <x:v>LINK-066</x:v>
      </x:c>
      <x:c r="B136" s="31" t="str">
        <x:v>A</x:v>
      </x:c>
      <x:c r="C136" s="31" t="str">
        <x:v>A00004</x:v>
      </x:c>
      <x:c r="D136" s="31" t="str">
        <x:v>A00032</x:v>
      </x:c>
      <x:c r="E136" s="31" t="n">
        <x:v>2</x:v>
      </x:c>
      <x:c r="F136" s="31" t="str">
        <x:f>"A00004 "&amp;UNICHAR(8594)&amp;" A00079 "&amp;UNICHAR(8594)&amp;" A00032"</x:f>
        <x:v>A00004 → A00079 → A00032</x:v>
      </x:c>
      <x:c r="G136" s="31" t="n">
        <x:v>392</x:v>
      </x:c>
      <x:c r="H136" s="35" t="n">
        <x:v>39626745.61</x:v>
      </x:c>
      <x:c r="I136" s="36" t="str">
        <x:v>2025-12-29T14:10:33.000</x:v>
      </x:c>
      <x:c r="J136" s="31" t="str">
        <x:f>UNICHAR(26159)</x:f>
        <x:v>是</x:v>
      </x:c>
      <x:c r="K136" s="31" t="n">
        <x:v>0</x:v>
      </x:c>
      <x:c r="L136" s="31" t="str">
        <x:f>"2"&amp;UNICHAR(36339)&amp;UNICHAR(20851)&amp;UNICHAR(31995)&amp;UNICHAR(65307)&amp;UNICHAR(36335)&amp;UNICHAR(24452)&amp;UNICHAR(32047)&amp;UNICHAR(35745)&amp;"392"&amp;UNICHAR(31508)&amp;UNICHAR(65307)&amp;UNICHAR(32047)&amp;UNICHAR(35745)&amp;UNICHAR(32477)&amp;UNICHAR(23545)&amp;UNICHAR(37329)&amp;UNICHAR(39069)&amp;"39,626,745.61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2跳关系；路径累计392笔；累计绝对金额39,626,745.61元；最近交易2025-12-29 14:10:33；同社区=是；双向关系0条</x:v>
      </x:c>
      <x:c r="M136" s="34" t="str"/>
      <x:c r="N136" s="34" t="str"/>
      <x:c r="O136" s="34" t="str"/>
      <x:c r="P136" s="34" t="str"/>
      <x:c r="Q136" s="34" t="str"/>
      <x:c r="R136" s="34" t="str"/>
      <x:c r="S136" s="37" t="str"/>
    </x:row>
    <x:row r="137" ht="38" customHeight="1">
      <x:c r="A137" s="31" t="str">
        <x:v>LINK-066</x:v>
      </x:c>
      <x:c r="B137" s="31" t="str">
        <x:v>B</x:v>
      </x:c>
      <x:c r="C137" s="31" t="str">
        <x:v>A00004</x:v>
      </x:c>
      <x:c r="D137" s="31" t="str">
        <x:v>A00032</x:v>
      </x:c>
      <x:c r="E137" s="31" t="n">
        <x:v>2</x:v>
      </x:c>
      <x:c r="F137" s="31" t="str">
        <x:f>"A00004 "&amp;UNICHAR(8594)&amp;" A00079 "&amp;UNICHAR(8594)&amp;" A00032"</x:f>
        <x:v>A00004 → A00079 → A00032</x:v>
      </x:c>
      <x:c r="G137" s="31" t="n">
        <x:v>392</x:v>
      </x:c>
      <x:c r="H137" s="35" t="n">
        <x:v>39626745.61</x:v>
      </x:c>
      <x:c r="I137" s="36" t="str">
        <x:v>2025-12-29T14:10:33.000</x:v>
      </x:c>
      <x:c r="J137" s="31" t="str">
        <x:f>UNICHAR(26159)</x:f>
        <x:v>是</x:v>
      </x:c>
      <x:c r="K137" s="31" t="n">
        <x:v>0</x:v>
      </x:c>
      <x:c r="L137" s="31" t="str">
        <x:f>"2"&amp;UNICHAR(36339)&amp;UNICHAR(20851)&amp;UNICHAR(31995)&amp;UNICHAR(65307)&amp;UNICHAR(36335)&amp;UNICHAR(24452)&amp;UNICHAR(32047)&amp;UNICHAR(35745)&amp;"392"&amp;UNICHAR(31508)&amp;UNICHAR(65307)&amp;UNICHAR(32047)&amp;UNICHAR(35745)&amp;UNICHAR(32477)&amp;UNICHAR(23545)&amp;UNICHAR(37329)&amp;UNICHAR(39069)&amp;"39,626,745.61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2跳关系；路径累计392笔；累计绝对金额39,626,745.61元；最近交易2025-12-29 14:10:33；同社区=是；双向关系0条</x:v>
      </x:c>
      <x:c r="M137" s="34" t="str"/>
      <x:c r="N137" s="34" t="str"/>
      <x:c r="O137" s="34" t="str"/>
      <x:c r="P137" s="34" t="str"/>
      <x:c r="Q137" s="34" t="str"/>
      <x:c r="R137" s="34" t="str"/>
      <x:c r="S137" s="37" t="str"/>
    </x:row>
    <x:row r="138" ht="38" customHeight="1">
      <x:c r="A138" s="31" t="str">
        <x:v>LINK-067</x:v>
      </x:c>
      <x:c r="B138" s="31" t="str">
        <x:v>A</x:v>
      </x:c>
      <x:c r="C138" s="31" t="str">
        <x:v>A00045</x:v>
      </x:c>
      <x:c r="D138" s="31" t="str">
        <x:v>A00031</x:v>
      </x:c>
      <x:c r="E138" s="31" t="n">
        <x:v>3</x:v>
      </x:c>
      <x:c r="F138" s="31" t="str">
        <x:f>"A00045 "&amp;UNICHAR(8594)&amp;" A00074 "&amp;UNICHAR(8594)&amp;" A00056 "&amp;UNICHAR(8594)&amp;" A00031"</x:f>
        <x:v>A00045 → A00074 → A00056 → A00031</x:v>
      </x:c>
      <x:c r="G138" s="31" t="n">
        <x:v>312</x:v>
      </x:c>
      <x:c r="H138" s="35" t="n">
        <x:v>33627081634.68</x:v>
      </x:c>
      <x:c r="I138" s="36" t="str">
        <x:v>2025-12-31T15:32:57.000</x:v>
      </x:c>
      <x:c r="J138" s="31" t="str">
        <x:f>UNICHAR(26159)</x:f>
        <x:v>是</x:v>
      </x:c>
      <x:c r="K138" s="31" t="n">
        <x:v>3</x:v>
      </x:c>
      <x:c r="L138" s="31" t="str">
        <x:f>"3"&amp;UNICHAR(36339)&amp;UNICHAR(20851)&amp;UNICHAR(31995)&amp;UNICHAR(65307)&amp;UNICHAR(36335)&amp;UNICHAR(24452)&amp;UNICHAR(32047)&amp;UNICHAR(35745)&amp;"312"&amp;UNICHAR(31508)&amp;UNICHAR(65307)&amp;UNICHAR(32047)&amp;UNICHAR(35745)&amp;UNICHAR(32477)&amp;UNICHAR(23545)&amp;UNICHAR(37329)&amp;UNICHAR(39069)&amp;"33,627,081,634.68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3跳关系；路径累计312笔；累计绝对金额33,627,081,634.68元；最近交易2025-12-31 15:32:57；同社区=是；双向关系3条</x:v>
      </x:c>
      <x:c r="M138" s="34" t="str"/>
      <x:c r="N138" s="34" t="str"/>
      <x:c r="O138" s="34" t="str"/>
      <x:c r="P138" s="34" t="str"/>
      <x:c r="Q138" s="34" t="str"/>
      <x:c r="R138" s="34" t="str"/>
      <x:c r="S138" s="37" t="str"/>
    </x:row>
    <x:row r="139" ht="38" customHeight="1">
      <x:c r="A139" s="31" t="str">
        <x:v>LINK-067</x:v>
      </x:c>
      <x:c r="B139" s="31" t="str">
        <x:v>B</x:v>
      </x:c>
      <x:c r="C139" s="31" t="str">
        <x:v>A00045</x:v>
      </x:c>
      <x:c r="D139" s="31" t="str">
        <x:v>A00031</x:v>
      </x:c>
      <x:c r="E139" s="31" t="n">
        <x:v>3</x:v>
      </x:c>
      <x:c r="F139" s="31" t="str">
        <x:f>"A00045 "&amp;UNICHAR(8594)&amp;" A00074 "&amp;UNICHAR(8594)&amp;" A00056 "&amp;UNICHAR(8594)&amp;" A00031"</x:f>
        <x:v>A00045 → A00074 → A00056 → A00031</x:v>
      </x:c>
      <x:c r="G139" s="31" t="n">
        <x:v>312</x:v>
      </x:c>
      <x:c r="H139" s="35" t="n">
        <x:v>33627081634.68</x:v>
      </x:c>
      <x:c r="I139" s="36" t="str">
        <x:v>2025-12-31T15:32:57.000</x:v>
      </x:c>
      <x:c r="J139" s="31" t="str">
        <x:f>UNICHAR(26159)</x:f>
        <x:v>是</x:v>
      </x:c>
      <x:c r="K139" s="31" t="n">
        <x:v>3</x:v>
      </x:c>
      <x:c r="L139" s="31" t="str">
        <x:f>"3"&amp;UNICHAR(36339)&amp;UNICHAR(20851)&amp;UNICHAR(31995)&amp;UNICHAR(65307)&amp;UNICHAR(36335)&amp;UNICHAR(24452)&amp;UNICHAR(32047)&amp;UNICHAR(35745)&amp;"312"&amp;UNICHAR(31508)&amp;UNICHAR(65307)&amp;UNICHAR(32047)&amp;UNICHAR(35745)&amp;UNICHAR(32477)&amp;UNICHAR(23545)&amp;UNICHAR(37329)&amp;UNICHAR(39069)&amp;"33,627,081,634.68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3跳关系；路径累计312笔；累计绝对金额33,627,081,634.68元；最近交易2025-12-31 15:32:57；同社区=是；双向关系3条</x:v>
      </x:c>
      <x:c r="M139" s="34" t="str"/>
      <x:c r="N139" s="34" t="str"/>
      <x:c r="O139" s="34" t="str"/>
      <x:c r="P139" s="34" t="str"/>
      <x:c r="Q139" s="34" t="str"/>
      <x:c r="R139" s="34" t="str"/>
      <x:c r="S139" s="37" t="str"/>
    </x:row>
    <x:row r="140" ht="38" customHeight="1">
      <x:c r="A140" s="31" t="str">
        <x:v>LINK-068</x:v>
      </x:c>
      <x:c r="B140" s="31" t="str">
        <x:v>A</x:v>
      </x:c>
      <x:c r="C140" s="31" t="str">
        <x:v>A00022</x:v>
      </x:c>
      <x:c r="D140" s="31" t="str">
        <x:v>A00076</x:v>
      </x:c>
      <x:c r="E140" s="31" t="n">
        <x:v>2</x:v>
      </x:c>
      <x:c r="F140" s="31" t="str">
        <x:f>"A00022 "&amp;UNICHAR(8594)&amp;" A00091 "&amp;UNICHAR(8594)&amp;" A00076"</x:f>
        <x:v>A00022 → A00091 → A00076</x:v>
      </x:c>
      <x:c r="G140" s="31" t="n">
        <x:v>622</x:v>
      </x:c>
      <x:c r="H140" s="35" t="n">
        <x:v>199896037</x:v>
      </x:c>
      <x:c r="I140" s="36" t="str">
        <x:v>2025-12-22T14:31:01.000</x:v>
      </x:c>
      <x:c r="J140" s="31" t="str">
        <x:f>UNICHAR(26159)</x:f>
        <x:v>是</x:v>
      </x:c>
      <x:c r="K140" s="31" t="n">
        <x:v>1</x:v>
      </x:c>
      <x:c r="L140" s="31" t="str">
        <x:f>"2"&amp;UNICHAR(36339)&amp;UNICHAR(20851)&amp;UNICHAR(31995)&amp;UNICHAR(65307)&amp;UNICHAR(36335)&amp;UNICHAR(24452)&amp;UNICHAR(32047)&amp;UNICHAR(35745)&amp;"622"&amp;UNICHAR(31508)&amp;UNICHAR(65307)&amp;UNICHAR(32047)&amp;UNICHAR(35745)&amp;UNICHAR(32477)&amp;UNICHAR(23545)&amp;UNICHAR(37329)&amp;UNICHAR(39069)&amp;"199,896,037.00"&amp;UNICHAR(20803)&amp;UNICHAR(65307)&amp;UNICHAR(26368)&amp;UNICHAR(36817)&amp;UNICHAR(20132)&amp;UNICHAR(26131)&amp;"2025-12-22 14:31:01"&amp;UNICHAR(65307)&amp;UNICHAR(21516)&amp;UNICHAR(31038)&amp;UNICHAR(21306)&amp;"="&amp;UNICHAR(26159)&amp;UNICHAR(65307)&amp;UNICHAR(21452)&amp;UNICHAR(21521)&amp;UNICHAR(20851)&amp;UNICHAR(31995)&amp;"1"&amp;UNICHAR(26465)</x:f>
        <x:v>2跳关系；路径累计622笔；累计绝对金额199,896,037.00元；最近交易2025-12-22 14:31:01；同社区=是；双向关系1条</x:v>
      </x:c>
      <x:c r="M140" s="34" t="str"/>
      <x:c r="N140" s="34" t="str"/>
      <x:c r="O140" s="34" t="str"/>
      <x:c r="P140" s="34" t="str"/>
      <x:c r="Q140" s="34" t="str"/>
      <x:c r="R140" s="34" t="str"/>
      <x:c r="S140" s="37" t="str"/>
    </x:row>
    <x:row r="141" ht="38" customHeight="1">
      <x:c r="A141" s="31" t="str">
        <x:v>LINK-068</x:v>
      </x:c>
      <x:c r="B141" s="31" t="str">
        <x:v>B</x:v>
      </x:c>
      <x:c r="C141" s="31" t="str">
        <x:v>A00022</x:v>
      </x:c>
      <x:c r="D141" s="31" t="str">
        <x:v>A00076</x:v>
      </x:c>
      <x:c r="E141" s="31" t="n">
        <x:v>2</x:v>
      </x:c>
      <x:c r="F141" s="31" t="str">
        <x:f>"A00022 "&amp;UNICHAR(8594)&amp;" A00091 "&amp;UNICHAR(8594)&amp;" A00076"</x:f>
        <x:v>A00022 → A00091 → A00076</x:v>
      </x:c>
      <x:c r="G141" s="31" t="n">
        <x:v>622</x:v>
      </x:c>
      <x:c r="H141" s="35" t="n">
        <x:v>199896037</x:v>
      </x:c>
      <x:c r="I141" s="36" t="str">
        <x:v>2025-12-22T14:31:01.000</x:v>
      </x:c>
      <x:c r="J141" s="31" t="str">
        <x:f>UNICHAR(26159)</x:f>
        <x:v>是</x:v>
      </x:c>
      <x:c r="K141" s="31" t="n">
        <x:v>1</x:v>
      </x:c>
      <x:c r="L141" s="31" t="str">
        <x:f>"2"&amp;UNICHAR(36339)&amp;UNICHAR(20851)&amp;UNICHAR(31995)&amp;UNICHAR(65307)&amp;UNICHAR(36335)&amp;UNICHAR(24452)&amp;UNICHAR(32047)&amp;UNICHAR(35745)&amp;"622"&amp;UNICHAR(31508)&amp;UNICHAR(65307)&amp;UNICHAR(32047)&amp;UNICHAR(35745)&amp;UNICHAR(32477)&amp;UNICHAR(23545)&amp;UNICHAR(37329)&amp;UNICHAR(39069)&amp;"199,896,037.00"&amp;UNICHAR(20803)&amp;UNICHAR(65307)&amp;UNICHAR(26368)&amp;UNICHAR(36817)&amp;UNICHAR(20132)&amp;UNICHAR(26131)&amp;"2025-12-22 14:31:01"&amp;UNICHAR(65307)&amp;UNICHAR(21516)&amp;UNICHAR(31038)&amp;UNICHAR(21306)&amp;"="&amp;UNICHAR(26159)&amp;UNICHAR(65307)&amp;UNICHAR(21452)&amp;UNICHAR(21521)&amp;UNICHAR(20851)&amp;UNICHAR(31995)&amp;"1"&amp;UNICHAR(26465)</x:f>
        <x:v>2跳关系；路径累计622笔；累计绝对金额199,896,037.00元；最近交易2025-12-22 14:31:01；同社区=是；双向关系1条</x:v>
      </x:c>
      <x:c r="M141" s="34" t="str"/>
      <x:c r="N141" s="34" t="str"/>
      <x:c r="O141" s="34" t="str"/>
      <x:c r="P141" s="34" t="str"/>
      <x:c r="Q141" s="34" t="str"/>
      <x:c r="R141" s="34" t="str"/>
      <x:c r="S141" s="37" t="str"/>
    </x:row>
    <x:row r="142" ht="38" customHeight="1">
      <x:c r="A142" s="31" t="str">
        <x:v>LINK-069</x:v>
      </x:c>
      <x:c r="B142" s="31" t="str">
        <x:v>A</x:v>
      </x:c>
      <x:c r="C142" s="31" t="str">
        <x:v>A00078</x:v>
      </x:c>
      <x:c r="D142" s="31" t="str">
        <x:v>A00088</x:v>
      </x:c>
      <x:c r="E142" s="31" t="n">
        <x:v>2</x:v>
      </x:c>
      <x:c r="F142" s="31" t="str">
        <x:f>"A00078 "&amp;UNICHAR(8594)&amp;" A00012 "&amp;UNICHAR(8594)&amp;" A00088"</x:f>
        <x:v>A00078 → A00012 → A00088</x:v>
      </x:c>
      <x:c r="G142" s="31" t="n">
        <x:v>106</x:v>
      </x:c>
      <x:c r="H142" s="35" t="n">
        <x:v>9269513.93</x:v>
      </x:c>
      <x:c r="I142" s="36" t="str">
        <x:v>2025-12-15T15:40:30.000</x:v>
      </x:c>
      <x:c r="J142" s="31" t="str">
        <x:f>UNICHAR(26159)</x:f>
        <x:v>是</x:v>
      </x:c>
      <x:c r="K142" s="31" t="n">
        <x:v>0</x:v>
      </x:c>
      <x:c r="L142" s="31" t="str">
        <x:f>"2"&amp;UNICHAR(36339)&amp;UNICHAR(20851)&amp;UNICHAR(31995)&amp;UNICHAR(65307)&amp;UNICHAR(36335)&amp;UNICHAR(24452)&amp;UNICHAR(32047)&amp;UNICHAR(35745)&amp;"106"&amp;UNICHAR(31508)&amp;UNICHAR(65307)&amp;UNICHAR(32047)&amp;UNICHAR(35745)&amp;UNICHAR(32477)&amp;UNICHAR(23545)&amp;UNICHAR(37329)&amp;UNICHAR(39069)&amp;"9,269,513.93"&amp;UNICHAR(20803)&amp;UNICHAR(65307)&amp;UNICHAR(26368)&amp;UNICHAR(36817)&amp;UNICHAR(20132)&amp;UNICHAR(26131)&amp;"2025-12-15 15:40:30"&amp;UNICHAR(65307)&amp;UNICHAR(21516)&amp;UNICHAR(31038)&amp;UNICHAR(21306)&amp;"="&amp;UNICHAR(26159)&amp;UNICHAR(65307)&amp;UNICHAR(21452)&amp;UNICHAR(21521)&amp;UNICHAR(20851)&amp;UNICHAR(31995)&amp;"0"&amp;UNICHAR(26465)</x:f>
        <x:v>2跳关系；路径累计106笔；累计绝对金额9,269,513.93元；最近交易2025-12-15 15:40:30；同社区=是；双向关系0条</x:v>
      </x:c>
      <x:c r="M142" s="34" t="str"/>
      <x:c r="N142" s="34" t="str"/>
      <x:c r="O142" s="34" t="str"/>
      <x:c r="P142" s="34" t="str"/>
      <x:c r="Q142" s="34" t="str"/>
      <x:c r="R142" s="34" t="str"/>
      <x:c r="S142" s="37" t="str"/>
    </x:row>
    <x:row r="143" ht="38" customHeight="1">
      <x:c r="A143" s="31" t="str">
        <x:v>LINK-069</x:v>
      </x:c>
      <x:c r="B143" s="31" t="str">
        <x:v>B</x:v>
      </x:c>
      <x:c r="C143" s="31" t="str">
        <x:v>A00078</x:v>
      </x:c>
      <x:c r="D143" s="31" t="str">
        <x:v>A00088</x:v>
      </x:c>
      <x:c r="E143" s="31" t="n">
        <x:v>2</x:v>
      </x:c>
      <x:c r="F143" s="31" t="str">
        <x:f>"A00078 "&amp;UNICHAR(8594)&amp;" A00012 "&amp;UNICHAR(8594)&amp;" A00088"</x:f>
        <x:v>A00078 → A00012 → A00088</x:v>
      </x:c>
      <x:c r="G143" s="31" t="n">
        <x:v>106</x:v>
      </x:c>
      <x:c r="H143" s="35" t="n">
        <x:v>9269513.93</x:v>
      </x:c>
      <x:c r="I143" s="36" t="str">
        <x:v>2025-12-15T15:40:30.000</x:v>
      </x:c>
      <x:c r="J143" s="31" t="str">
        <x:f>UNICHAR(26159)</x:f>
        <x:v>是</x:v>
      </x:c>
      <x:c r="K143" s="31" t="n">
        <x:v>0</x:v>
      </x:c>
      <x:c r="L143" s="31" t="str">
        <x:f>"2"&amp;UNICHAR(36339)&amp;UNICHAR(20851)&amp;UNICHAR(31995)&amp;UNICHAR(65307)&amp;UNICHAR(36335)&amp;UNICHAR(24452)&amp;UNICHAR(32047)&amp;UNICHAR(35745)&amp;"106"&amp;UNICHAR(31508)&amp;UNICHAR(65307)&amp;UNICHAR(32047)&amp;UNICHAR(35745)&amp;UNICHAR(32477)&amp;UNICHAR(23545)&amp;UNICHAR(37329)&amp;UNICHAR(39069)&amp;"9,269,513.93"&amp;UNICHAR(20803)&amp;UNICHAR(65307)&amp;UNICHAR(26368)&amp;UNICHAR(36817)&amp;UNICHAR(20132)&amp;UNICHAR(26131)&amp;"2025-12-15 15:40:30"&amp;UNICHAR(65307)&amp;UNICHAR(21516)&amp;UNICHAR(31038)&amp;UNICHAR(21306)&amp;"="&amp;UNICHAR(26159)&amp;UNICHAR(65307)&amp;UNICHAR(21452)&amp;UNICHAR(21521)&amp;UNICHAR(20851)&amp;UNICHAR(31995)&amp;"0"&amp;UNICHAR(26465)</x:f>
        <x:v>2跳关系；路径累计106笔；累计绝对金额9,269,513.93元；最近交易2025-12-15 15:40:30；同社区=是；双向关系0条</x:v>
      </x:c>
      <x:c r="M143" s="34" t="str"/>
      <x:c r="N143" s="34" t="str"/>
      <x:c r="O143" s="34" t="str"/>
      <x:c r="P143" s="34" t="str"/>
      <x:c r="Q143" s="34" t="str"/>
      <x:c r="R143" s="34" t="str"/>
      <x:c r="S143" s="37" t="str"/>
    </x:row>
    <x:row r="144" ht="38" customHeight="1">
      <x:c r="A144" s="31" t="str">
        <x:v>LINK-070</x:v>
      </x:c>
      <x:c r="B144" s="31" t="str">
        <x:v>A</x:v>
      </x:c>
      <x:c r="C144" s="31" t="str">
        <x:v>A00034</x:v>
      </x:c>
      <x:c r="D144" s="31" t="str">
        <x:v>A00005</x:v>
      </x:c>
      <x:c r="E144" s="31" t="n">
        <x:v>1</x:v>
      </x:c>
      <x:c r="F144" s="31" t="str">
        <x:f>"A00034 "&amp;UNICHAR(8594)&amp;" A00005"</x:f>
        <x:v>A00034 → A00005</x:v>
      </x:c>
      <x:c r="G144" s="31" t="n">
        <x:v>3</x:v>
      </x:c>
      <x:c r="H144" s="35" t="n">
        <x:v>1316.7</x:v>
      </x:c>
      <x:c r="I144" s="36" t="str">
        <x:v>2025-12-06T11:21:36.000</x:v>
      </x:c>
      <x:c r="J144" s="31" t="str">
        <x:f>UNICHAR(26159)</x:f>
        <x:v>是</x:v>
      </x:c>
      <x:c r="K144" s="31" t="n">
        <x:v>0</x:v>
      </x:c>
      <x:c r="L144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1,316.70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1跳关系；路径累计3笔；累计绝对金额1,316.70元；最近交易2025-12-06 11:21:36；同社区=是；双向关系0条</x:v>
      </x:c>
      <x:c r="M144" s="34" t="str"/>
      <x:c r="N144" s="34" t="str"/>
      <x:c r="O144" s="34" t="str"/>
      <x:c r="P144" s="34" t="str"/>
      <x:c r="Q144" s="34" t="str"/>
      <x:c r="R144" s="34" t="str"/>
      <x:c r="S144" s="37" t="str"/>
    </x:row>
    <x:row r="145" ht="38" customHeight="1">
      <x:c r="A145" s="31" t="str">
        <x:v>LINK-070</x:v>
      </x:c>
      <x:c r="B145" s="31" t="str">
        <x:v>B</x:v>
      </x:c>
      <x:c r="C145" s="31" t="str">
        <x:v>A00034</x:v>
      </x:c>
      <x:c r="D145" s="31" t="str">
        <x:v>A00005</x:v>
      </x:c>
      <x:c r="E145" s="31" t="n">
        <x:v>1</x:v>
      </x:c>
      <x:c r="F145" s="31" t="str">
        <x:f>"A00034 "&amp;UNICHAR(8594)&amp;" A00005"</x:f>
        <x:v>A00034 → A00005</x:v>
      </x:c>
      <x:c r="G145" s="31" t="n">
        <x:v>3</x:v>
      </x:c>
      <x:c r="H145" s="35" t="n">
        <x:v>1316.7</x:v>
      </x:c>
      <x:c r="I145" s="36" t="str">
        <x:v>2025-12-06T11:21:36.000</x:v>
      </x:c>
      <x:c r="J145" s="31" t="str">
        <x:f>UNICHAR(26159)</x:f>
        <x:v>是</x:v>
      </x:c>
      <x:c r="K145" s="31" t="n">
        <x:v>0</x:v>
      </x:c>
      <x:c r="L145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1,316.70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1跳关系；路径累计3笔；累计绝对金额1,316.70元；最近交易2025-12-06 11:21:36；同社区=是；双向关系0条</x:v>
      </x:c>
      <x:c r="M145" s="34" t="str"/>
      <x:c r="N145" s="34" t="str"/>
      <x:c r="O145" s="34" t="str"/>
      <x:c r="P145" s="34" t="str"/>
      <x:c r="Q145" s="34" t="str"/>
      <x:c r="R145" s="34" t="str"/>
      <x:c r="S145" s="37" t="str"/>
    </x:row>
    <x:row r="146" ht="38" customHeight="1">
      <x:c r="A146" s="31" t="str">
        <x:v>LINK-071</x:v>
      </x:c>
      <x:c r="B146" s="31" t="str">
        <x:v>A</x:v>
      </x:c>
      <x:c r="C146" s="31" t="str">
        <x:v>A00045</x:v>
      </x:c>
      <x:c r="D146" s="31" t="str">
        <x:v>A00028</x:v>
      </x:c>
      <x:c r="E146" s="31" t="n">
        <x:v>3</x:v>
      </x:c>
      <x:c r="F146" s="31" t="str">
        <x:f>"A00045 "&amp;UNICHAR(8594)&amp;" A00074 "&amp;UNICHAR(8594)&amp;" A00056 "&amp;UNICHAR(8594)&amp;" A00028"</x:f>
        <x:v>A00045 → A00074 → A00056 → A00028</x:v>
      </x:c>
      <x:c r="G146" s="31" t="n">
        <x:v>285</x:v>
      </x:c>
      <x:c r="H146" s="35" t="n">
        <x:v>4744714641.3</x:v>
      </x:c>
      <x:c r="I146" s="36" t="str">
        <x:v>2025-12-31T15:32:57.000</x:v>
      </x:c>
      <x:c r="J146" s="31" t="str">
        <x:f>UNICHAR(26159)</x:f>
        <x:v>是</x:v>
      </x:c>
      <x:c r="K146" s="31" t="n">
        <x:v>3</x:v>
      </x:c>
      <x:c r="L146" s="31" t="str">
        <x:f>"3"&amp;UNICHAR(36339)&amp;UNICHAR(20851)&amp;UNICHAR(31995)&amp;UNICHAR(65307)&amp;UNICHAR(36335)&amp;UNICHAR(24452)&amp;UNICHAR(32047)&amp;UNICHAR(35745)&amp;"285"&amp;UNICHAR(31508)&amp;UNICHAR(65307)&amp;UNICHAR(32047)&amp;UNICHAR(35745)&amp;UNICHAR(32477)&amp;UNICHAR(23545)&amp;UNICHAR(37329)&amp;UNICHAR(39069)&amp;"4,744,714,641.30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3跳关系；路径累计285笔；累计绝对金额4,744,714,641.30元；最近交易2025-12-31 15:32:57；同社区=是；双向关系3条</x:v>
      </x:c>
      <x:c r="M146" s="34" t="str"/>
      <x:c r="N146" s="34" t="str"/>
      <x:c r="O146" s="34" t="str"/>
      <x:c r="P146" s="34" t="str"/>
      <x:c r="Q146" s="34" t="str"/>
      <x:c r="R146" s="34" t="str"/>
      <x:c r="S146" s="37" t="str"/>
    </x:row>
    <x:row r="147" ht="38" customHeight="1">
      <x:c r="A147" s="31" t="str">
        <x:v>LINK-071</x:v>
      </x:c>
      <x:c r="B147" s="31" t="str">
        <x:v>B</x:v>
      </x:c>
      <x:c r="C147" s="31" t="str">
        <x:v>A00045</x:v>
      </x:c>
      <x:c r="D147" s="31" t="str">
        <x:v>A00028</x:v>
      </x:c>
      <x:c r="E147" s="31" t="n">
        <x:v>3</x:v>
      </x:c>
      <x:c r="F147" s="31" t="str">
        <x:f>"A00045 "&amp;UNICHAR(8594)&amp;" A00074 "&amp;UNICHAR(8594)&amp;" A00056 "&amp;UNICHAR(8594)&amp;" A00028"</x:f>
        <x:v>A00045 → A00074 → A00056 → A00028</x:v>
      </x:c>
      <x:c r="G147" s="31" t="n">
        <x:v>285</x:v>
      </x:c>
      <x:c r="H147" s="35" t="n">
        <x:v>4744714641.3</x:v>
      </x:c>
      <x:c r="I147" s="36" t="str">
        <x:v>2025-12-31T15:32:57.000</x:v>
      </x:c>
      <x:c r="J147" s="31" t="str">
        <x:f>UNICHAR(26159)</x:f>
        <x:v>是</x:v>
      </x:c>
      <x:c r="K147" s="31" t="n">
        <x:v>3</x:v>
      </x:c>
      <x:c r="L147" s="31" t="str">
        <x:f>"3"&amp;UNICHAR(36339)&amp;UNICHAR(20851)&amp;UNICHAR(31995)&amp;UNICHAR(65307)&amp;UNICHAR(36335)&amp;UNICHAR(24452)&amp;UNICHAR(32047)&amp;UNICHAR(35745)&amp;"285"&amp;UNICHAR(31508)&amp;UNICHAR(65307)&amp;UNICHAR(32047)&amp;UNICHAR(35745)&amp;UNICHAR(32477)&amp;UNICHAR(23545)&amp;UNICHAR(37329)&amp;UNICHAR(39069)&amp;"4,744,714,641.30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15:32:57"&amp;UNICHAR(65307)&amp;UNICHAR(21516)&amp;UNICHAR(31038)&amp;UNICHAR(21306)&amp;"="&amp;UNICHAR(26159)&amp;UNICHAR(65307)&amp;UNICHAR(21452)&amp;UNICHAR(21521)&amp;UNICHAR(20851)&amp;UNICHAR(31995)&amp;"3"&amp;UNICHAR(26465)</x:f>
        <x:v>3跳关系；路径累计285笔；累计绝对金额4,744,714,641.30元；最近交易2025-12-31 15:32:57；同社区=是；双向关系3条</x:v>
      </x:c>
      <x:c r="M147" s="34" t="str"/>
      <x:c r="N147" s="34" t="str"/>
      <x:c r="O147" s="34" t="str"/>
      <x:c r="P147" s="34" t="str"/>
      <x:c r="Q147" s="34" t="str"/>
      <x:c r="R147" s="34" t="str"/>
      <x:c r="S147" s="37" t="str"/>
    </x:row>
    <x:row r="148" ht="38" customHeight="1">
      <x:c r="A148" s="31" t="str">
        <x:v>LINK-072</x:v>
      </x:c>
      <x:c r="B148" s="31" t="str">
        <x:v>A</x:v>
      </x:c>
      <x:c r="C148" s="31" t="str">
        <x:v>A00034</x:v>
      </x:c>
      <x:c r="D148" s="31" t="str">
        <x:v>A00030</x:v>
      </x:c>
      <x:c r="E148" s="31" t="n">
        <x:v>2</x:v>
      </x:c>
      <x:c r="F148" s="31" t="str">
        <x:f>"A00034 "&amp;UNICHAR(8594)&amp;" A00005 "&amp;UNICHAR(8594)&amp;" A00030"</x:f>
        <x:v>A00034 → A00005 → A00030</x:v>
      </x:c>
      <x:c r="G148" s="31" t="n">
        <x:v>6</x:v>
      </x:c>
      <x:c r="H148" s="35" t="n">
        <x:v>4242.7</x:v>
      </x:c>
      <x:c r="I148" s="36" t="str">
        <x:v>2025-12-06T11:21:36.000</x:v>
      </x:c>
      <x:c r="J148" s="31" t="str">
        <x:f>UNICHAR(26159)</x:f>
        <x:v>是</x:v>
      </x:c>
      <x:c r="K148" s="31" t="n">
        <x:v>0</x:v>
      </x:c>
      <x:c r="L148" s="31" t="str">
        <x:f>"2"&amp;UNICHAR(36339)&amp;UNICHAR(20851)&amp;UNICHAR(31995)&amp;UNICHAR(65307)&amp;UNICHAR(36335)&amp;UNICHAR(24452)&amp;UNICHAR(32047)&amp;UNICHAR(35745)&amp;"6"&amp;UNICHAR(31508)&amp;UNICHAR(65307)&amp;UNICHAR(32047)&amp;UNICHAR(35745)&amp;UNICHAR(32477)&amp;UNICHAR(23545)&amp;UNICHAR(37329)&amp;UNICHAR(39069)&amp;"4,242.70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2跳关系；路径累计6笔；累计绝对金额4,242.70元；最近交易2025-12-06 11:21:36；同社区=是；双向关系0条</x:v>
      </x:c>
      <x:c r="M148" s="34" t="str"/>
      <x:c r="N148" s="34" t="str"/>
      <x:c r="O148" s="34" t="str"/>
      <x:c r="P148" s="34" t="str"/>
      <x:c r="Q148" s="34" t="str"/>
      <x:c r="R148" s="34" t="str"/>
      <x:c r="S148" s="37" t="str"/>
    </x:row>
    <x:row r="149" ht="38" customHeight="1">
      <x:c r="A149" s="31" t="str">
        <x:v>LINK-072</x:v>
      </x:c>
      <x:c r="B149" s="31" t="str">
        <x:v>B</x:v>
      </x:c>
      <x:c r="C149" s="31" t="str">
        <x:v>A00034</x:v>
      </x:c>
      <x:c r="D149" s="31" t="str">
        <x:v>A00030</x:v>
      </x:c>
      <x:c r="E149" s="31" t="n">
        <x:v>2</x:v>
      </x:c>
      <x:c r="F149" s="31" t="str">
        <x:f>"A00034 "&amp;UNICHAR(8594)&amp;" A00005 "&amp;UNICHAR(8594)&amp;" A00030"</x:f>
        <x:v>A00034 → A00005 → A00030</x:v>
      </x:c>
      <x:c r="G149" s="31" t="n">
        <x:v>6</x:v>
      </x:c>
      <x:c r="H149" s="35" t="n">
        <x:v>4242.7</x:v>
      </x:c>
      <x:c r="I149" s="36" t="str">
        <x:v>2025-12-06T11:21:36.000</x:v>
      </x:c>
      <x:c r="J149" s="31" t="str">
        <x:f>UNICHAR(26159)</x:f>
        <x:v>是</x:v>
      </x:c>
      <x:c r="K149" s="31" t="n">
        <x:v>0</x:v>
      </x:c>
      <x:c r="L149" s="31" t="str">
        <x:f>"2"&amp;UNICHAR(36339)&amp;UNICHAR(20851)&amp;UNICHAR(31995)&amp;UNICHAR(65307)&amp;UNICHAR(36335)&amp;UNICHAR(24452)&amp;UNICHAR(32047)&amp;UNICHAR(35745)&amp;"6"&amp;UNICHAR(31508)&amp;UNICHAR(65307)&amp;UNICHAR(32047)&amp;UNICHAR(35745)&amp;UNICHAR(32477)&amp;UNICHAR(23545)&amp;UNICHAR(37329)&amp;UNICHAR(39069)&amp;"4,242.70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2跳关系；路径累计6笔；累计绝对金额4,242.70元；最近交易2025-12-06 11:21:36；同社区=是；双向关系0条</x:v>
      </x:c>
      <x:c r="M149" s="34" t="str"/>
      <x:c r="N149" s="34" t="str"/>
      <x:c r="O149" s="34" t="str"/>
      <x:c r="P149" s="34" t="str"/>
      <x:c r="Q149" s="34" t="str"/>
      <x:c r="R149" s="34" t="str"/>
      <x:c r="S149" s="37" t="str"/>
    </x:row>
    <x:row r="150" ht="38" customHeight="1">
      <x:c r="A150" s="31" t="str">
        <x:v>LINK-073</x:v>
      </x:c>
      <x:c r="B150" s="31" t="str">
        <x:v>A</x:v>
      </x:c>
      <x:c r="C150" s="31" t="str">
        <x:v>A00004</x:v>
      </x:c>
      <x:c r="D150" s="31" t="str">
        <x:v>A00042</x:v>
      </x:c>
      <x:c r="E150" s="31" t="n">
        <x:v>3</x:v>
      </x:c>
      <x:c r="F150" s="31" t="str">
        <x:f>"A00004 "&amp;UNICHAR(8594)&amp;" A00079 "&amp;UNICHAR(8594)&amp;" A00032 "&amp;UNICHAR(8594)&amp;" A00042"</x:f>
        <x:v>A00004 → A00079 → A00032 → A00042</x:v>
      </x:c>
      <x:c r="G150" s="31" t="n">
        <x:v>395</x:v>
      </x:c>
      <x:c r="H150" s="35" t="n">
        <x:v>39897137.05</x:v>
      </x:c>
      <x:c r="I150" s="36" t="str">
        <x:v>2025-12-29T14:10:33.000</x:v>
      </x:c>
      <x:c r="J150" s="31" t="str">
        <x:f>UNICHAR(26159)</x:f>
        <x:v>是</x:v>
      </x:c>
      <x:c r="K150" s="31" t="n">
        <x:v>0</x:v>
      </x:c>
      <x:c r="L150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39,897,137.05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3跳关系；路径累计395笔；累计绝对金额39,897,137.05元；最近交易2025-12-29 14:10:33；同社区=是；双向关系0条</x:v>
      </x:c>
      <x:c r="M150" s="34" t="str"/>
      <x:c r="N150" s="34" t="str"/>
      <x:c r="O150" s="34" t="str"/>
      <x:c r="P150" s="34" t="str"/>
      <x:c r="Q150" s="34" t="str"/>
      <x:c r="R150" s="34" t="str"/>
      <x:c r="S150" s="37" t="str"/>
    </x:row>
    <x:row r="151" ht="38" customHeight="1">
      <x:c r="A151" s="31" t="str">
        <x:v>LINK-073</x:v>
      </x:c>
      <x:c r="B151" s="31" t="str">
        <x:v>B</x:v>
      </x:c>
      <x:c r="C151" s="31" t="str">
        <x:v>A00004</x:v>
      </x:c>
      <x:c r="D151" s="31" t="str">
        <x:v>A00042</x:v>
      </x:c>
      <x:c r="E151" s="31" t="n">
        <x:v>3</x:v>
      </x:c>
      <x:c r="F151" s="31" t="str">
        <x:f>"A00004 "&amp;UNICHAR(8594)&amp;" A00079 "&amp;UNICHAR(8594)&amp;" A00032 "&amp;UNICHAR(8594)&amp;" A00042"</x:f>
        <x:v>A00004 → A00079 → A00032 → A00042</x:v>
      </x:c>
      <x:c r="G151" s="31" t="n">
        <x:v>395</x:v>
      </x:c>
      <x:c r="H151" s="35" t="n">
        <x:v>39897137.05</x:v>
      </x:c>
      <x:c r="I151" s="36" t="str">
        <x:v>2025-12-29T14:10:33.000</x:v>
      </x:c>
      <x:c r="J151" s="31" t="str">
        <x:f>UNICHAR(26159)</x:f>
        <x:v>是</x:v>
      </x:c>
      <x:c r="K151" s="31" t="n">
        <x:v>0</x:v>
      </x:c>
      <x:c r="L151" s="31" t="str">
        <x:f>"3"&amp;UNICHAR(36339)&amp;UNICHAR(20851)&amp;UNICHAR(31995)&amp;UNICHAR(65307)&amp;UNICHAR(36335)&amp;UNICHAR(24452)&amp;UNICHAR(32047)&amp;UNICHAR(35745)&amp;"395"&amp;UNICHAR(31508)&amp;UNICHAR(65307)&amp;UNICHAR(32047)&amp;UNICHAR(35745)&amp;UNICHAR(32477)&amp;UNICHAR(23545)&amp;UNICHAR(37329)&amp;UNICHAR(39069)&amp;"39,897,137.05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3跳关系；路径累计395笔；累计绝对金额39,897,137.05元；最近交易2025-12-29 14:10:33；同社区=是；双向关系0条</x:v>
      </x:c>
      <x:c r="M151" s="34" t="str"/>
      <x:c r="N151" s="34" t="str"/>
      <x:c r="O151" s="34" t="str"/>
      <x:c r="P151" s="34" t="str"/>
      <x:c r="Q151" s="34" t="str"/>
      <x:c r="R151" s="34" t="str"/>
      <x:c r="S151" s="37" t="str"/>
    </x:row>
    <x:row r="152" ht="38" customHeight="1">
      <x:c r="A152" s="31" t="str">
        <x:v>LINK-074</x:v>
      </x:c>
      <x:c r="B152" s="31" t="str">
        <x:v>A</x:v>
      </x:c>
      <x:c r="C152" s="31" t="str">
        <x:v>A00022</x:v>
      </x:c>
      <x:c r="D152" s="31" t="str">
        <x:v>A00037</x:v>
      </x:c>
      <x:c r="E152" s="31" t="n">
        <x:v>2</x:v>
      </x:c>
      <x:c r="F152" s="31" t="str">
        <x:f>"A00022 "&amp;UNICHAR(8594)&amp;" A00091 "&amp;UNICHAR(8594)&amp;" A00037"</x:f>
        <x:v>A00022 → A00091 → A00037</x:v>
      </x:c>
      <x:c r="G152" s="31" t="n">
        <x:v>9</x:v>
      </x:c>
      <x:c r="H152" s="35" t="n">
        <x:v>5131100</x:v>
      </x:c>
      <x:c r="I152" s="36" t="str">
        <x:v>2025-12-22T08:24:10.000</x:v>
      </x:c>
      <x:c r="J152" s="31" t="str">
        <x:f>UNICHAR(26159)</x:f>
        <x:v>是</x:v>
      </x:c>
      <x:c r="K152" s="31" t="n">
        <x:v>0</x:v>
      </x:c>
      <x:c r="L152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5,131,100.00"&amp;UNICHAR(20803)&amp;UNICHAR(65307)&amp;UNICHAR(26368)&amp;UNICHAR(36817)&amp;UNICHAR(20132)&amp;UNICHAR(26131)&amp;"2025-12-22 08:24:10"&amp;UNICHAR(65307)&amp;UNICHAR(21516)&amp;UNICHAR(31038)&amp;UNICHAR(21306)&amp;"="&amp;UNICHAR(26159)&amp;UNICHAR(65307)&amp;UNICHAR(21452)&amp;UNICHAR(21521)&amp;UNICHAR(20851)&amp;UNICHAR(31995)&amp;"0"&amp;UNICHAR(26465)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2跳关系；路径累计9笔；累计绝对金额5,131,100.00元；最近交易2025-12-22 08:24:10；同社区=是；双向关系0条</x:v>
      </x:c>
      <x:c r="M152" s="34" t="str"/>
      <x:c r="N152" s="34" t="str"/>
      <x:c r="O152" s="34" t="str"/>
      <x:c r="P152" s="34" t="str"/>
      <x:c r="Q152" s="34" t="str"/>
      <x:c r="R152" s="34" t="str"/>
      <x:c r="S152" s="37" t="str"/>
    </x:row>
    <x:row r="153" ht="38" customHeight="1">
      <x:c r="A153" s="31" t="str">
        <x:v>LINK-074</x:v>
      </x:c>
      <x:c r="B153" s="31" t="str">
        <x:v>B</x:v>
      </x:c>
      <x:c r="C153" s="31" t="str">
        <x:v>A00022</x:v>
      </x:c>
      <x:c r="D153" s="31" t="str">
        <x:v>A00037</x:v>
      </x:c>
      <x:c r="E153" s="31" t="n">
        <x:v>2</x:v>
      </x:c>
      <x:c r="F153" s="31" t="str">
        <x:f>"A00022 "&amp;UNICHAR(8594)&amp;" A00091 "&amp;UNICHAR(8594)&amp;" A00037"</x:f>
        <x:v>A00022 → A00091 → A00037</x:v>
      </x:c>
      <x:c r="G153" s="31" t="n">
        <x:v>9</x:v>
      </x:c>
      <x:c r="H153" s="35" t="n">
        <x:v>5131100</x:v>
      </x:c>
      <x:c r="I153" s="36" t="str">
        <x:v>2025-12-22T08:24:10.000</x:v>
      </x:c>
      <x:c r="J153" s="31" t="str">
        <x:f>UNICHAR(26159)</x:f>
        <x:v>是</x:v>
      </x:c>
      <x:c r="K153" s="31" t="n">
        <x:v>0</x:v>
      </x:c>
      <x:c r="L153" s="31" t="str">
        <x:f>"2"&amp;UNICHAR(36339)&amp;UNICHAR(20851)&amp;UNICHAR(31995)&amp;UNICHAR(65307)&amp;UNICHAR(36335)&amp;UNICHAR(24452)&amp;UNICHAR(32047)&amp;UNICHAR(35745)&amp;"9"&amp;UNICHAR(31508)&amp;UNICHAR(65307)&amp;UNICHAR(32047)&amp;UNICHAR(35745)&amp;UNICHAR(32477)&amp;UNICHAR(23545)&amp;UNICHAR(37329)&amp;UNICHAR(39069)&amp;"5,131,100.00"&amp;UNICHAR(20803)&amp;UNICHAR(65307)&amp;UNICHAR(26368)&amp;UNICHAR(36817)&amp;UNICHAR(20132)&amp;UNICHAR(26131)&amp;"2025-12-22 08:24:10"&amp;UNICHAR(65307)&amp;UNICHAR(21516)&amp;UNICHAR(31038)&amp;UNICHAR(21306)&amp;"="&amp;UNICHAR(26159)&amp;UNICHAR(65307)&amp;UNICHAR(21452)&amp;UNICHAR(21521)&amp;UNICHAR(20851)&amp;UNICHAR(31995)&amp;"0"&amp;UNICHAR(26465)</x:f>
        <x:v>2跳关系；路径累计9笔；累计绝对金额5,131,100.00元；最近交易2025-12-22 08:24:10；同社区=是；双向关系0条</x:v>
      </x:c>
      <x:c r="M153" s="34" t="str"/>
      <x:c r="N153" s="34" t="str"/>
      <x:c r="O153" s="34" t="str"/>
      <x:c r="P153" s="34" t="str"/>
      <x:c r="Q153" s="34" t="str"/>
      <x:c r="R153" s="34" t="str"/>
      <x:c r="S153" s="37" t="str"/>
    </x:row>
    <x:row r="154" ht="38" customHeight="1">
      <x:c r="A154" s="31" t="str">
        <x:v>LINK-075</x:v>
      </x:c>
      <x:c r="B154" s="31" t="str">
        <x:v>A</x:v>
      </x:c>
      <x:c r="C154" s="31" t="str">
        <x:v>A00045</x:v>
      </x:c>
      <x:c r="D154" s="31" t="str">
        <x:v>A00056</x:v>
      </x:c>
      <x:c r="E154" s="31" t="n">
        <x:v>2</x:v>
      </x:c>
      <x:c r="F154" s="31" t="str">
        <x:f>"A00045 "&amp;UNICHAR(8594)&amp;" A00074 "&amp;UNICHAR(8594)&amp;" A00056"</x:f>
        <x:v>A00045 → A00074 → A00056</x:v>
      </x:c>
      <x:c r="G154" s="31" t="n">
        <x:v>176</x:v>
      </x:c>
      <x:c r="H154" s="35" t="n">
        <x:v>2423792223.67</x:v>
      </x:c>
      <x:c r="I154" s="36" t="str">
        <x:v>2025-12-31T15:32:57.000</x:v>
      </x:c>
      <x:c r="J154" s="31" t="str">
        <x:f>UNICHAR(26159)</x:f>
        <x:v>是</x:v>
      </x:c>
      <x:c r="K154" s="31" t="n">
        <x:v>2</x:v>
      </x:c>
      <x:c r="L154" s="31" t="str">
        <x:f>"2"&amp;UNICHAR(36339)&amp;UNICHAR(20851)&amp;UNICHAR(31995)&amp;UNICHAR(65307)&amp;UNICHAR(36335)&amp;UNICHAR(24452)&amp;UNICHAR(32047)&amp;UNICHAR(35745)&amp;"176"&amp;UNICHAR(31508)&amp;UNICHAR(65307)&amp;UNICHAR(32047)&amp;UNICHAR(35745)&amp;UNICHAR(32477)&amp;UNICHAR(23545)&amp;UNICHAR(37329)&amp;UNICHAR(39069)&amp;"2,423,792,223.67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2跳关系；路径累计176笔；累计绝对金额2,423,792,223.67元；最近交易2025-12-31 15:32:57；同社区=是；双向关系2条</x:v>
      </x:c>
      <x:c r="M154" s="34" t="str"/>
      <x:c r="N154" s="34" t="str"/>
      <x:c r="O154" s="34" t="str"/>
      <x:c r="P154" s="34" t="str"/>
      <x:c r="Q154" s="34" t="str"/>
      <x:c r="R154" s="34" t="str"/>
      <x:c r="S154" s="37" t="str"/>
    </x:row>
    <x:row r="155" ht="38" customHeight="1">
      <x:c r="A155" s="31" t="str">
        <x:v>LINK-075</x:v>
      </x:c>
      <x:c r="B155" s="31" t="str">
        <x:v>B</x:v>
      </x:c>
      <x:c r="C155" s="31" t="str">
        <x:v>A00045</x:v>
      </x:c>
      <x:c r="D155" s="31" t="str">
        <x:v>A00056</x:v>
      </x:c>
      <x:c r="E155" s="31" t="n">
        <x:v>2</x:v>
      </x:c>
      <x:c r="F155" s="31" t="str">
        <x:f>"A00045 "&amp;UNICHAR(8594)&amp;" A00074 "&amp;UNICHAR(8594)&amp;" A00056"</x:f>
        <x:v>A00045 → A00074 → A00056</x:v>
      </x:c>
      <x:c r="G155" s="31" t="n">
        <x:v>176</x:v>
      </x:c>
      <x:c r="H155" s="35" t="n">
        <x:v>2423792223.67</x:v>
      </x:c>
      <x:c r="I155" s="36" t="str">
        <x:v>2025-12-31T15:32:57.000</x:v>
      </x:c>
      <x:c r="J155" s="31" t="str">
        <x:f>UNICHAR(26159)</x:f>
        <x:v>是</x:v>
      </x:c>
      <x:c r="K155" s="31" t="n">
        <x:v>2</x:v>
      </x:c>
      <x:c r="L155" s="31" t="str">
        <x:f>"2"&amp;UNICHAR(36339)&amp;UNICHAR(20851)&amp;UNICHAR(31995)&amp;UNICHAR(65307)&amp;UNICHAR(36335)&amp;UNICHAR(24452)&amp;UNICHAR(32047)&amp;UNICHAR(35745)&amp;"176"&amp;UNICHAR(31508)&amp;UNICHAR(65307)&amp;UNICHAR(32047)&amp;UNICHAR(35745)&amp;UNICHAR(32477)&amp;UNICHAR(23545)&amp;UNICHAR(37329)&amp;UNICHAR(39069)&amp;"2,423,792,223.67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2跳关系；路径累计176笔；累计绝对金额2,423,792,223.67元；最近交易2025-12-31 15:32:57；同社区=是；双向关系2条</x:v>
      </x:c>
      <x:c r="M155" s="34" t="str"/>
      <x:c r="N155" s="34" t="str"/>
      <x:c r="O155" s="34" t="str"/>
      <x:c r="P155" s="34" t="str"/>
      <x:c r="Q155" s="34" t="str"/>
      <x:c r="R155" s="34" t="str"/>
      <x:c r="S155" s="37" t="str"/>
    </x:row>
    <x:row r="156" ht="38" customHeight="1">
      <x:c r="A156" s="31" t="str">
        <x:v>LINK-076</x:v>
      </x:c>
      <x:c r="B156" s="31" t="str">
        <x:v>A</x:v>
      </x:c>
      <x:c r="C156" s="31" t="str">
        <x:v>A00034</x:v>
      </x:c>
      <x:c r="D156" s="31" t="str">
        <x:v>A00065</x:v>
      </x:c>
      <x:c r="E156" s="31" t="n">
        <x:v>1</x:v>
      </x:c>
      <x:c r="F156" s="31" t="str">
        <x:f>"A00034 "&amp;UNICHAR(8594)&amp;" A00065"</x:f>
        <x:v>A00034 → A00065</x:v>
      </x:c>
      <x:c r="G156" s="31" t="n">
        <x:v>3</x:v>
      </x:c>
      <x:c r="H156" s="35" t="n">
        <x:v>1316.7</x:v>
      </x:c>
      <x:c r="I156" s="36" t="str">
        <x:v>2025-12-06T11:21:36.000</x:v>
      </x:c>
      <x:c r="J156" s="31" t="str">
        <x:f>UNICHAR(26159)</x:f>
        <x:v>是</x:v>
      </x:c>
      <x:c r="K156" s="31" t="n">
        <x:v>0</x:v>
      </x:c>
      <x:c r="L156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1,316.70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1跳关系；路径累计3笔；累计绝对金额1,316.70元；最近交易2025-12-06 11:21:36；同社区=是；双向关系0条</x:v>
      </x:c>
      <x:c r="M156" s="34" t="str"/>
      <x:c r="N156" s="34" t="str"/>
      <x:c r="O156" s="34" t="str"/>
      <x:c r="P156" s="34" t="str"/>
      <x:c r="Q156" s="34" t="str"/>
      <x:c r="R156" s="34" t="str"/>
      <x:c r="S156" s="37" t="str"/>
    </x:row>
    <x:row r="157" ht="38" customHeight="1">
      <x:c r="A157" s="31" t="str">
        <x:v>LINK-076</x:v>
      </x:c>
      <x:c r="B157" s="31" t="str">
        <x:v>B</x:v>
      </x:c>
      <x:c r="C157" s="31" t="str">
        <x:v>A00034</x:v>
      </x:c>
      <x:c r="D157" s="31" t="str">
        <x:v>A00065</x:v>
      </x:c>
      <x:c r="E157" s="31" t="n">
        <x:v>1</x:v>
      </x:c>
      <x:c r="F157" s="31" t="str">
        <x:f>"A00034 "&amp;UNICHAR(8594)&amp;" A00065"</x:f>
        <x:v>A00034 → A00065</x:v>
      </x:c>
      <x:c r="G157" s="31" t="n">
        <x:v>3</x:v>
      </x:c>
      <x:c r="H157" s="35" t="n">
        <x:v>1316.7</x:v>
      </x:c>
      <x:c r="I157" s="36" t="str">
        <x:v>2025-12-06T11:21:36.000</x:v>
      </x:c>
      <x:c r="J157" s="31" t="str">
        <x:f>UNICHAR(26159)</x:f>
        <x:v>是</x:v>
      </x:c>
      <x:c r="K157" s="31" t="n">
        <x:v>0</x:v>
      </x:c>
      <x:c r="L157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1,316.70"&amp;UNICHAR(20803)&amp;UNICHAR(65307)&amp;UNICHAR(26368)&amp;UNICHAR(36817)&amp;UNICHAR(20132)&amp;UNICHAR(26131)&amp;"2025-12-06 11:21:36"&amp;UNICHAR(65307)&amp;UNICHAR(21516)&amp;UNICHAR(31038)&amp;UNICHAR(21306)&amp;"="&amp;UNICHAR(26159)&amp;UNICHAR(65307)&amp;UNICHAR(21452)&amp;UNICHAR(21521)&amp;UNICHAR(20851)&amp;UNICHAR(31995)&amp;"0"&amp;UNICHAR(26465)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1跳关系；路径累计3笔；累计绝对金额1,316.70元；最近交易2025-12-06 11:21:36；同社区=是；双向关系0条</x:v>
      </x:c>
      <x:c r="M157" s="34" t="str"/>
      <x:c r="N157" s="34" t="str"/>
      <x:c r="O157" s="34" t="str"/>
      <x:c r="P157" s="34" t="str"/>
      <x:c r="Q157" s="34" t="str"/>
      <x:c r="R157" s="34" t="str"/>
      <x:c r="S157" s="37" t="str"/>
    </x:row>
    <x:row r="158" ht="38" customHeight="1">
      <x:c r="A158" s="31" t="str">
        <x:v>LINK-077</x:v>
      </x:c>
      <x:c r="B158" s="31" t="str">
        <x:v>A</x:v>
      </x:c>
      <x:c r="C158" s="31" t="str">
        <x:v>A00004</x:v>
      </x:c>
      <x:c r="D158" s="31" t="str">
        <x:v>A00046</x:v>
      </x:c>
      <x:c r="E158" s="31" t="n">
        <x:v>3</x:v>
      </x:c>
      <x:c r="F158" s="31" t="str">
        <x:f>"A00004 "&amp;UNICHAR(8594)&amp;" A00079 "&amp;UNICHAR(8594)&amp;" A00032 "&amp;UNICHAR(8594)&amp;" A00046"</x:f>
        <x:v>A00004 → A00079 → A00032 → A00046</x:v>
      </x:c>
      <x:c r="G158" s="31" t="n">
        <x:v>393</x:v>
      </x:c>
      <x:c r="H158" s="35" t="n">
        <x:v>41126745.61</x:v>
      </x:c>
      <x:c r="I158" s="36" t="str">
        <x:v>2025-12-29T14:10:33.000</x:v>
      </x:c>
      <x:c r="J158" s="31" t="str">
        <x:f>UNICHAR(26159)</x:f>
        <x:v>是</x:v>
      </x:c>
      <x:c r="K158" s="31" t="n">
        <x:v>0</x:v>
      </x:c>
      <x:c r="L158" s="31" t="str">
        <x:f>"3"&amp;UNICHAR(36339)&amp;UNICHAR(20851)&amp;UNICHAR(31995)&amp;UNICHAR(65307)&amp;UNICHAR(36335)&amp;UNICHAR(24452)&amp;UNICHAR(32047)&amp;UNICHAR(35745)&amp;"393"&amp;UNICHAR(31508)&amp;UNICHAR(65307)&amp;UNICHAR(32047)&amp;UNICHAR(35745)&amp;UNICHAR(32477)&amp;UNICHAR(23545)&amp;UNICHAR(37329)&amp;UNICHAR(39069)&amp;"41,126,745.61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3跳关系；路径累计393笔；累计绝对金额41,126,745.61元；最近交易2025-12-29 14:10:33；同社区=是；双向关系0条</x:v>
      </x:c>
      <x:c r="M158" s="34" t="str"/>
      <x:c r="N158" s="34" t="str"/>
      <x:c r="O158" s="34" t="str"/>
      <x:c r="P158" s="34" t="str"/>
      <x:c r="Q158" s="34" t="str"/>
      <x:c r="R158" s="34" t="str"/>
      <x:c r="S158" s="37" t="str"/>
    </x:row>
    <x:row r="159" ht="38" customHeight="1">
      <x:c r="A159" s="31" t="str">
        <x:v>LINK-077</x:v>
      </x:c>
      <x:c r="B159" s="31" t="str">
        <x:v>B</x:v>
      </x:c>
      <x:c r="C159" s="31" t="str">
        <x:v>A00004</x:v>
      </x:c>
      <x:c r="D159" s="31" t="str">
        <x:v>A00046</x:v>
      </x:c>
      <x:c r="E159" s="31" t="n">
        <x:v>3</x:v>
      </x:c>
      <x:c r="F159" s="31" t="str">
        <x:f>"A00004 "&amp;UNICHAR(8594)&amp;" A00079 "&amp;UNICHAR(8594)&amp;" A00032 "&amp;UNICHAR(8594)&amp;" A00046"</x:f>
        <x:v>A00004 → A00079 → A00032 → A00046</x:v>
      </x:c>
      <x:c r="G159" s="31" t="n">
        <x:v>393</x:v>
      </x:c>
      <x:c r="H159" s="35" t="n">
        <x:v>41126745.61</x:v>
      </x:c>
      <x:c r="I159" s="36" t="str">
        <x:v>2025-12-29T14:10:33.000</x:v>
      </x:c>
      <x:c r="J159" s="31" t="str">
        <x:f>UNICHAR(26159)</x:f>
        <x:v>是</x:v>
      </x:c>
      <x:c r="K159" s="31" t="n">
        <x:v>0</x:v>
      </x:c>
      <x:c r="L159" s="31" t="str">
        <x:f>"3"&amp;UNICHAR(36339)&amp;UNICHAR(20851)&amp;UNICHAR(31995)&amp;UNICHAR(65307)&amp;UNICHAR(36335)&amp;UNICHAR(24452)&amp;UNICHAR(32047)&amp;UNICHAR(35745)&amp;"393"&amp;UNICHAR(31508)&amp;UNICHAR(65307)&amp;UNICHAR(32047)&amp;UNICHAR(35745)&amp;UNICHAR(32477)&amp;UNICHAR(23545)&amp;UNICHAR(37329)&amp;UNICHAR(39069)&amp;"41,126,745.61"&amp;UNICHAR(20803)&amp;UNICHAR(65307)&amp;UNICHAR(26368)&amp;UNICHAR(36817)&amp;UNICHAR(20132)&amp;UNICHAR(26131)&amp;"2025-12-29 14:10:33"&amp;UNICHAR(65307)&amp;UNICHAR(21516)&amp;UNICHAR(31038)&amp;UNICHAR(21306)&amp;"="&amp;UNICHAR(26159)&amp;UNICHAR(65307)&amp;UNICHAR(21452)&amp;UNICHAR(21521)&amp;UNICHAR(20851)&amp;UNICHAR(31995)&amp;"0"&amp;UNICHAR(26465)</x:f>
        <x:v>3跳关系；路径累计393笔；累计绝对金额41,126,745.61元；最近交易2025-12-29 14:10:33；同社区=是；双向关系0条</x:v>
      </x:c>
      <x:c r="M159" s="34" t="str"/>
      <x:c r="N159" s="34" t="str"/>
      <x:c r="O159" s="34" t="str"/>
      <x:c r="P159" s="34" t="str"/>
      <x:c r="Q159" s="34" t="str"/>
      <x:c r="R159" s="34" t="str"/>
      <x:c r="S159" s="37" t="str"/>
    </x:row>
    <x:row r="160" ht="38" customHeight="1">
      <x:c r="A160" s="31" t="str">
        <x:v>LINK-078</x:v>
      </x:c>
      <x:c r="B160" s="31" t="str">
        <x:v>A</x:v>
      </x:c>
      <x:c r="C160" s="31" t="str">
        <x:v>A00078</x:v>
      </x:c>
      <x:c r="D160" s="31" t="str">
        <x:v>A00008</x:v>
      </x:c>
      <x:c r="E160" s="31" t="n">
        <x:v>2</x:v>
      </x:c>
      <x:c r="F160" s="31" t="str">
        <x:f>"A00078 "&amp;UNICHAR(8594)&amp;" A00012 "&amp;UNICHAR(8594)&amp;" A00008"</x:f>
        <x:v>A00078 → A00012 → A00008</x:v>
      </x:c>
      <x:c r="G160" s="31" t="n">
        <x:v>21</x:v>
      </x:c>
      <x:c r="H160" s="35" t="n">
        <x:v>240453.03</x:v>
      </x:c>
      <x:c r="I160" s="36" t="str">
        <x:v>2025-12-29T14:28:08.000</x:v>
      </x:c>
      <x:c r="J160" s="31" t="str">
        <x:f>UNICHAR(26159)</x:f>
        <x:v>是</x:v>
      </x:c>
      <x:c r="K160" s="31" t="n">
        <x:v>1</x:v>
      </x:c>
      <x:c r="L160" s="31" t="str">
        <x:f>"2"&amp;UNICHAR(36339)&amp;UNICHAR(20851)&amp;UNICHAR(31995)&amp;UNICHAR(65307)&amp;UNICHAR(36335)&amp;UNICHAR(24452)&amp;UNICHAR(32047)&amp;UNICHAR(35745)&amp;"21"&amp;UNICHAR(31508)&amp;UNICHAR(65307)&amp;UNICHAR(32047)&amp;UNICHAR(35745)&amp;UNICHAR(32477)&amp;UNICHAR(23545)&amp;UNICHAR(37329)&amp;UNICHAR(39069)&amp;"240,453.03"&amp;UNICHAR(20803)&amp;UNICHAR(65307)&amp;UNICHAR(26368)&amp;UNICHAR(36817)&amp;UNICHAR(20132)&amp;UNICHAR(26131)&amp;"2025-12-29 14:28:08"&amp;UNICHAR(65307)&amp;UNICHAR(21516)&amp;UNICHAR(31038)&amp;UNICHAR(21306)&amp;"="&amp;UNICHAR(26159)&amp;UNICHAR(65307)&amp;UNICHAR(21452)&amp;UNICHAR(21521)&amp;UNICHAR(20851)&amp;UNICHAR(31995)&amp;"1"&amp;UNICHAR(26465)</x:f>
        <x:v>2跳关系；路径累计21笔；累计绝对金额240,453.03元；最近交易2025-12-29 14:28:08；同社区=是；双向关系1条</x:v>
      </x:c>
      <x:c r="M160" s="34" t="str"/>
      <x:c r="N160" s="34" t="str"/>
      <x:c r="O160" s="34" t="str"/>
      <x:c r="P160" s="34" t="str"/>
      <x:c r="Q160" s="34" t="str"/>
      <x:c r="R160" s="34" t="str"/>
      <x:c r="S160" s="37" t="str"/>
    </x:row>
    <x:row r="161" ht="38" customHeight="1">
      <x:c r="A161" s="31" t="str">
        <x:v>LINK-078</x:v>
      </x:c>
      <x:c r="B161" s="31" t="str">
        <x:v>B</x:v>
      </x:c>
      <x:c r="C161" s="31" t="str">
        <x:v>A00078</x:v>
      </x:c>
      <x:c r="D161" s="31" t="str">
        <x:v>A00008</x:v>
      </x:c>
      <x:c r="E161" s="31" t="n">
        <x:v>2</x:v>
      </x:c>
      <x:c r="F161" s="31" t="str">
        <x:f>"A00078 "&amp;UNICHAR(8594)&amp;" A00012 "&amp;UNICHAR(8594)&amp;" A00008"</x:f>
        <x:v>A00078 → A00012 → A00008</x:v>
      </x:c>
      <x:c r="G161" s="31" t="n">
        <x:v>21</x:v>
      </x:c>
      <x:c r="H161" s="35" t="n">
        <x:v>240453.03</x:v>
      </x:c>
      <x:c r="I161" s="36" t="str">
        <x:v>2025-12-29T14:28:08.000</x:v>
      </x:c>
      <x:c r="J161" s="31" t="str">
        <x:f>UNICHAR(26159)</x:f>
        <x:v>是</x:v>
      </x:c>
      <x:c r="K161" s="31" t="n">
        <x:v>1</x:v>
      </x:c>
      <x:c r="L161" s="31" t="str">
        <x:f>"2"&amp;UNICHAR(36339)&amp;UNICHAR(20851)&amp;UNICHAR(31995)&amp;UNICHAR(65307)&amp;UNICHAR(36335)&amp;UNICHAR(24452)&amp;UNICHAR(32047)&amp;UNICHAR(35745)&amp;"21"&amp;UNICHAR(31508)&amp;UNICHAR(65307)&amp;UNICHAR(32047)&amp;UNICHAR(35745)&amp;UNICHAR(32477)&amp;UNICHAR(23545)&amp;UNICHAR(37329)&amp;UNICHAR(39069)&amp;"240,453.03"&amp;UNICHAR(20803)&amp;UNICHAR(65307)&amp;UNICHAR(26368)&amp;UNICHAR(36817)&amp;UNICHAR(20132)&amp;UNICHAR(26131)&amp;"2025-12-29 14:28:08"&amp;UNICHAR(65307)&amp;UNICHAR(21516)&amp;UNICHAR(31038)&amp;UNICHAR(21306)&amp;"="&amp;UNICHAR(26159)&amp;UNICHAR(65307)&amp;UNICHAR(21452)&amp;UNICHAR(21521)&amp;UNICHAR(20851)&amp;UNICHAR(31995)&amp;"1"&amp;UNICHAR(26465)</x:f>
        <x:v>2跳关系；路径累计21笔；累计绝对金额240,453.03元；最近交易2025-12-29 14:28:08；同社区=是；双向关系1条</x:v>
      </x:c>
      <x:c r="M161" s="34" t="str"/>
      <x:c r="N161" s="34" t="str"/>
      <x:c r="O161" s="34" t="str"/>
      <x:c r="P161" s="34" t="str"/>
      <x:c r="Q161" s="34" t="str"/>
      <x:c r="R161" s="34" t="str"/>
      <x:c r="S161" s="37" t="str"/>
    </x:row>
    <x:row r="162" ht="38" customHeight="1">
      <x:c r="A162" s="31" t="str">
        <x:v>LINK-079</x:v>
      </x:c>
      <x:c r="B162" s="31" t="str">
        <x:v>A</x:v>
      </x:c>
      <x:c r="C162" s="31" t="str">
        <x:v>A00045</x:v>
      </x:c>
      <x:c r="D162" s="31" t="str">
        <x:v>A00055</x:v>
      </x:c>
      <x:c r="E162" s="31" t="n">
        <x:v>3</x:v>
      </x:c>
      <x:c r="F162" s="31" t="str">
        <x:f>"A00045 "&amp;UNICHAR(8594)&amp;" A00074 "&amp;UNICHAR(8594)&amp;" A00056 "&amp;UNICHAR(8594)&amp;" A00055"</x:f>
        <x:v>A00045 → A00074 → A00056 → A00055</x:v>
      </x:c>
      <x:c r="G162" s="31" t="n">
        <x:v>232</x:v>
      </x:c>
      <x:c r="H162" s="35" t="n">
        <x:v>3435702290.57</x:v>
      </x:c>
      <x:c r="I162" s="36" t="str">
        <x:v>2025-12-31T15:32:57.000</x:v>
      </x:c>
      <x:c r="J162" s="31" t="str">
        <x:f>UNICHAR(26159)</x:f>
        <x:v>是</x:v>
      </x:c>
      <x:c r="K162" s="31" t="n">
        <x:v>2</x:v>
      </x:c>
      <x:c r="L162" s="31" t="str">
        <x:f>"3"&amp;UNICHAR(36339)&amp;UNICHAR(20851)&amp;UNICHAR(31995)&amp;UNICHAR(65307)&amp;UNICHAR(36335)&amp;UNICHAR(24452)&amp;UNICHAR(32047)&amp;UNICHAR(35745)&amp;"232"&amp;UNICHAR(31508)&amp;UNICHAR(65307)&amp;UNICHAR(32047)&amp;UNICHAR(35745)&amp;UNICHAR(32477)&amp;UNICHAR(23545)&amp;UNICHAR(37329)&amp;UNICHAR(39069)&amp;"3,435,702,290.57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3跳关系；路径累计232笔；累计绝对金额3,435,702,290.57元；最近交易2025-12-31 15:32:57；同社区=是；双向关系2条</x:v>
      </x:c>
      <x:c r="M162" s="34" t="str"/>
      <x:c r="N162" s="34" t="str"/>
      <x:c r="O162" s="34" t="str"/>
      <x:c r="P162" s="34" t="str"/>
      <x:c r="Q162" s="34" t="str"/>
      <x:c r="R162" s="34" t="str"/>
      <x:c r="S162" s="37" t="str"/>
    </x:row>
    <x:row r="163" ht="38" customHeight="1">
      <x:c r="A163" s="31" t="str">
        <x:v>LINK-079</x:v>
      </x:c>
      <x:c r="B163" s="31" t="str">
        <x:v>B</x:v>
      </x:c>
      <x:c r="C163" s="31" t="str">
        <x:v>A00045</x:v>
      </x:c>
      <x:c r="D163" s="31" t="str">
        <x:v>A00055</x:v>
      </x:c>
      <x:c r="E163" s="31" t="n">
        <x:v>3</x:v>
      </x:c>
      <x:c r="F163" s="31" t="str">
        <x:f>"A00045 "&amp;UNICHAR(8594)&amp;" A00074 "&amp;UNICHAR(8594)&amp;" A00056 "&amp;UNICHAR(8594)&amp;" A00055"</x:f>
        <x:v>A00045 → A00074 → A00056 → A00055</x:v>
      </x:c>
      <x:c r="G163" s="31" t="n">
        <x:v>232</x:v>
      </x:c>
      <x:c r="H163" s="35" t="n">
        <x:v>3435702290.57</x:v>
      </x:c>
      <x:c r="I163" s="36" t="str">
        <x:v>2025-12-31T15:32:57.000</x:v>
      </x:c>
      <x:c r="J163" s="31" t="str">
        <x:f>UNICHAR(26159)</x:f>
        <x:v>是</x:v>
      </x:c>
      <x:c r="K163" s="31" t="n">
        <x:v>2</x:v>
      </x:c>
      <x:c r="L163" s="31" t="str">
        <x:f>"3"&amp;UNICHAR(36339)&amp;UNICHAR(20851)&amp;UNICHAR(31995)&amp;UNICHAR(65307)&amp;UNICHAR(36335)&amp;UNICHAR(24452)&amp;UNICHAR(32047)&amp;UNICHAR(35745)&amp;"232"&amp;UNICHAR(31508)&amp;UNICHAR(65307)&amp;UNICHAR(32047)&amp;UNICHAR(35745)&amp;UNICHAR(32477)&amp;UNICHAR(23545)&amp;UNICHAR(37329)&amp;UNICHAR(39069)&amp;"3,435,702,290.57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3跳关系；路径累计232笔；累计绝对金额3,435,702,290.57元；最近交易2025-12-31 15:32:57；同社区=是；双向关系2条</x:v>
      </x:c>
      <x:c r="M163" s="34" t="str"/>
      <x:c r="N163" s="34" t="str"/>
      <x:c r="O163" s="34" t="str"/>
      <x:c r="P163" s="34" t="str"/>
      <x:c r="Q163" s="34" t="str"/>
      <x:c r="R163" s="34" t="str"/>
      <x:c r="S163" s="37" t="str"/>
    </x:row>
    <x:row r="164" ht="38" customHeight="1">
      <x:c r="A164" s="31" t="str">
        <x:v>LINK-080</x:v>
      </x:c>
      <x:c r="B164" s="31" t="str">
        <x:v>A</x:v>
      </x:c>
      <x:c r="C164" s="31" t="str">
        <x:v>A00045</x:v>
      </x:c>
      <x:c r="D164" s="31" t="str">
        <x:v>A00082</x:v>
      </x:c>
      <x:c r="E164" s="31" t="n">
        <x:v>3</x:v>
      </x:c>
      <x:c r="F164" s="31" t="str">
        <x:f>"A00045 "&amp;UNICHAR(8594)&amp;" A00074 "&amp;UNICHAR(8594)&amp;" A00056 "&amp;UNICHAR(8594)&amp;" A00082"</x:f>
        <x:v>A00045 → A00074 → A00056 → A00082</x:v>
      </x:c>
      <x:c r="G164" s="31" t="n">
        <x:v>234</x:v>
      </x:c>
      <x:c r="H164" s="35" t="n">
        <x:v>3223610412.1400003</x:v>
      </x:c>
      <x:c r="I164" s="36" t="str">
        <x:v>2025-12-31T15:32:57.000</x:v>
      </x:c>
      <x:c r="J164" s="31" t="str">
        <x:f>UNICHAR(26159)</x:f>
        <x:v>是</x:v>
      </x:c>
      <x:c r="K164" s="31" t="n">
        <x:v>2</x:v>
      </x:c>
      <x:c r="L164" s="31" t="str">
        <x:f>"3"&amp;UNICHAR(36339)&amp;UNICHAR(20851)&amp;UNICHAR(31995)&amp;UNICHAR(65307)&amp;UNICHAR(36335)&amp;UNICHAR(24452)&amp;UNICHAR(32047)&amp;UNICHAR(35745)&amp;"234"&amp;UNICHAR(31508)&amp;UNICHAR(65307)&amp;UNICHAR(32047)&amp;UNICHAR(35745)&amp;UNICHAR(32477)&amp;UNICHAR(23545)&amp;UNICHAR(37329)&amp;UNICHAR(39069)&amp;"3,223,610,412.14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3跳关系；路径累计234笔；累计绝对金额3,223,610,412.14元；最近交易2025-12-31 15:32:57；同社区=是；双向关系2条</x:v>
      </x:c>
      <x:c r="M164" s="34" t="str"/>
      <x:c r="N164" s="34" t="str"/>
      <x:c r="O164" s="34" t="str"/>
      <x:c r="P164" s="34" t="str"/>
      <x:c r="Q164" s="34" t="str"/>
      <x:c r="R164" s="34" t="str"/>
      <x:c r="S164" s="37" t="str"/>
    </x:row>
    <x:row r="165" ht="38" customHeight="1">
      <x:c r="A165" s="31" t="str">
        <x:v>LINK-080</x:v>
      </x:c>
      <x:c r="B165" s="31" t="str">
        <x:v>B</x:v>
      </x:c>
      <x:c r="C165" s="31" t="str">
        <x:v>A00045</x:v>
      </x:c>
      <x:c r="D165" s="31" t="str">
        <x:v>A00082</x:v>
      </x:c>
      <x:c r="E165" s="31" t="n">
        <x:v>3</x:v>
      </x:c>
      <x:c r="F165" s="31" t="str">
        <x:f>"A00045 "&amp;UNICHAR(8594)&amp;" A00074 "&amp;UNICHAR(8594)&amp;" A00056 "&amp;UNICHAR(8594)&amp;" A00082"</x:f>
        <x:v>A00045 → A00074 → A00056 → A00082</x:v>
      </x:c>
      <x:c r="G165" s="31" t="n">
        <x:v>234</x:v>
      </x:c>
      <x:c r="H165" s="35" t="n">
        <x:v>3223610412.1400003</x:v>
      </x:c>
      <x:c r="I165" s="36" t="str">
        <x:v>2025-12-31T15:32:57.000</x:v>
      </x:c>
      <x:c r="J165" s="31" t="str">
        <x:f>UNICHAR(26159)</x:f>
        <x:v>是</x:v>
      </x:c>
      <x:c r="K165" s="31" t="n">
        <x:v>2</x:v>
      </x:c>
      <x:c r="L165" s="31" t="str">
        <x:f>"3"&amp;UNICHAR(36339)&amp;UNICHAR(20851)&amp;UNICHAR(31995)&amp;UNICHAR(65307)&amp;UNICHAR(36335)&amp;UNICHAR(24452)&amp;UNICHAR(32047)&amp;UNICHAR(35745)&amp;"234"&amp;UNICHAR(31508)&amp;UNICHAR(65307)&amp;UNICHAR(32047)&amp;UNICHAR(35745)&amp;UNICHAR(32477)&amp;UNICHAR(23545)&amp;UNICHAR(37329)&amp;UNICHAR(39069)&amp;"3,223,610,412.14"&amp;UNICHAR(20803)&amp;UNICHAR(65307)&amp;UNICHAR(26368)&amp;UNICHAR(36817)&amp;UNICHAR(20132)&amp;UNICHAR(26131)&amp;"2025-12-31 15:32:57"&amp;UNICHAR(65307)&amp;UNICHAR(21516)&amp;UNICHAR(31038)&amp;UNICHAR(21306)&amp;"="&amp;UNICHAR(26159)&amp;UNICHAR(65307)&amp;UNICHAR(21452)&amp;UNICHAR(21521)&amp;UNICHAR(20851)&amp;UNICHAR(31995)&amp;"2"&amp;UNICHAR(26465)</x:f>
        <x:v>3跳关系；路径累计234笔；累计绝对金额3,223,610,412.14元；最近交易2025-12-31 15:32:57；同社区=是；双向关系2条</x:v>
      </x:c>
      <x:c r="M165" s="34" t="str"/>
      <x:c r="N165" s="34" t="str"/>
      <x:c r="O165" s="34" t="str"/>
      <x:c r="P165" s="34" t="str"/>
      <x:c r="Q165" s="34" t="str"/>
      <x:c r="R165" s="34" t="str"/>
      <x:c r="S165" s="37" t="str"/>
    </x:row>
    <x:row r="166" ht="38" customHeight="1">
      <x:c r="A166" s="31" t="str">
        <x:v>LINK-081</x:v>
      </x:c>
      <x:c r="B166" s="31" t="str">
        <x:v>A</x:v>
      </x:c>
      <x:c r="C166" s="31" t="str">
        <x:v>A00022</x:v>
      </x:c>
      <x:c r="D166" s="31" t="str">
        <x:v>A00010</x:v>
      </x:c>
      <x:c r="E166" s="31" t="n">
        <x:v>3</x:v>
      </x:c>
      <x:c r="F166" s="31" t="str">
        <x:f>"A00022 "&amp;UNICHAR(8594)&amp;" A00091 "&amp;UNICHAR(8594)&amp;" A00021 "&amp;UNICHAR(8594)&amp;" A00010"</x:f>
        <x:v>A00022 → A00091 → A00021 → A00010</x:v>
      </x:c>
      <x:c r="G166" s="31" t="n">
        <x:v>95</x:v>
      </x:c>
      <x:c r="H166" s="35" t="n">
        <x:v>626595882.22</x:v>
      </x:c>
      <x:c r="I166" s="36" t="str">
        <x:v>2025-12-30T12:27:49.000</x:v>
      </x:c>
      <x:c r="J166" s="31" t="str">
        <x:f>UNICHAR(26159)</x:f>
        <x:v>是</x:v>
      </x:c>
      <x:c r="K166" s="31" t="n">
        <x:v>0</x:v>
      </x:c>
      <x:c r="L166" s="31" t="str">
        <x:f>"3"&amp;UNICHAR(36339)&amp;UNICHAR(20851)&amp;UNICHAR(31995)&amp;UNICHAR(65307)&amp;UNICHAR(36335)&amp;UNICHAR(24452)&amp;UNICHAR(32047)&amp;UNICHAR(35745)&amp;"95"&amp;UNICHAR(31508)&amp;UNICHAR(65307)&amp;UNICHAR(32047)&amp;UNICHAR(35745)&amp;UNICHAR(32477)&amp;UNICHAR(23545)&amp;UNICHAR(37329)&amp;UNICHAR(39069)&amp;"626,595,882.22"&amp;UNICHAR(20803)&amp;UNICHAR(65307)&amp;UNICHAR(26368)&amp;UNICHAR(36817)&amp;UNICHAR(20132)&amp;UNICHAR(26131)&amp;"2025-12-30 12:27:49"&amp;UNICHAR(65307)&amp;UNICHAR(21516)&amp;UNICHAR(31038)&amp;UNICHAR(21306)&amp;"="&amp;UNICHAR(26159)&amp;UNICHAR(65307)&amp;UNICHAR(21452)&amp;UNICHAR(21521)&amp;UNICHAR(20851)&amp;UNICHAR(31995)&amp;"0"&amp;UNICHAR(26465)</x:f>
        <x:v>3跳关系；路径累计95笔；累计绝对金额626,595,882.22元；最近交易2025-12-30 12:27:49；同社区=是；双向关系0条</x:v>
      </x:c>
      <x:c r="M166" s="34" t="str"/>
      <x:c r="N166" s="34" t="str"/>
      <x:c r="O166" s="34" t="str"/>
      <x:c r="P166" s="34" t="str"/>
      <x:c r="Q166" s="34" t="str"/>
      <x:c r="R166" s="34" t="str"/>
      <x:c r="S166" s="37" t="str"/>
    </x:row>
    <x:row r="167" ht="38" customHeight="1">
      <x:c r="A167" s="31" t="str">
        <x:v>LINK-081</x:v>
      </x:c>
      <x:c r="B167" s="31" t="str">
        <x:v>B</x:v>
      </x:c>
      <x:c r="C167" s="31" t="str">
        <x:v>A00022</x:v>
      </x:c>
      <x:c r="D167" s="31" t="str">
        <x:v>A00010</x:v>
      </x:c>
      <x:c r="E167" s="31" t="n">
        <x:v>3</x:v>
      </x:c>
      <x:c r="F167" s="31" t="str">
        <x:f>"A00022 "&amp;UNICHAR(8594)&amp;" A00091 "&amp;UNICHAR(8594)&amp;" A00021 "&amp;UNICHAR(8594)&amp;" A00010"</x:f>
        <x:v>A00022 → A00091 → A00021 → A00010</x:v>
      </x:c>
      <x:c r="G167" s="31" t="n">
        <x:v>95</x:v>
      </x:c>
      <x:c r="H167" s="35" t="n">
        <x:v>626595882.22</x:v>
      </x:c>
      <x:c r="I167" s="36" t="str">
        <x:v>2025-12-30T12:27:49.000</x:v>
      </x:c>
      <x:c r="J167" s="31" t="str">
        <x:f>UNICHAR(26159)</x:f>
        <x:v>是</x:v>
      </x:c>
      <x:c r="K167" s="31" t="n">
        <x:v>0</x:v>
      </x:c>
      <x:c r="L167" s="31" t="str">
        <x:f>"3"&amp;UNICHAR(36339)&amp;UNICHAR(20851)&amp;UNICHAR(31995)&amp;UNICHAR(65307)&amp;UNICHAR(36335)&amp;UNICHAR(24452)&amp;UNICHAR(32047)&amp;UNICHAR(35745)&amp;"95"&amp;UNICHAR(31508)&amp;UNICHAR(65307)&amp;UNICHAR(32047)&amp;UNICHAR(35745)&amp;UNICHAR(32477)&amp;UNICHAR(23545)&amp;UNICHAR(37329)&amp;UNICHAR(39069)&amp;"626,595,882.22"&amp;UNICHAR(20803)&amp;UNICHAR(65307)&amp;UNICHAR(26368)&amp;UNICHAR(36817)&amp;UNICHAR(20132)&amp;UNICHAR(26131)&amp;"2025-12-30 12:27:49"&amp;UNICHAR(65307)&amp;UNICHAR(21516)&amp;UNICHAR(31038)&amp;UNICHAR(21306)&amp;"="&amp;UNICHAR(26159)&amp;UNICHAR(65307)&amp;UNICHAR(21452)&amp;UNICHAR(21521)&amp;UNICHAR(20851)&amp;UNICHAR(31995)&amp;"0"&amp;UNICHAR(26465)</x:f>
        <x:v>3跳关系；路径累计95笔；累计绝对金额626,595,882.22元；最近交易2025-12-30 12:27:49；同社区=是；双向关系0条</x:v>
      </x:c>
      <x:c r="M167" s="34" t="str"/>
      <x:c r="N167" s="34" t="str"/>
      <x:c r="O167" s="34" t="str"/>
      <x:c r="P167" s="34" t="str"/>
      <x:c r="Q167" s="34" t="str"/>
      <x:c r="R167" s="34" t="str"/>
      <x:c r="S167" s="37" t="str"/>
    </x:row>
    <x:row r="168" ht="38" customHeight="1">
      <x:c r="A168" s="31" t="str">
        <x:v>LINK-082</x:v>
      </x:c>
      <x:c r="B168" s="31" t="str">
        <x:v>A</x:v>
      </x:c>
      <x:c r="C168" s="31" t="str">
        <x:v>A00045</x:v>
      </x:c>
      <x:c r="D168" s="31" t="str">
        <x:v>A00087</x:v>
      </x:c>
      <x:c r="E168" s="31" t="n">
        <x:v>3</x:v>
      </x:c>
      <x:c r="F168" s="31" t="str">
        <x:f>"A00045 "&amp;UNICHAR(8594)&amp;" A00074 "&amp;UNICHAR(8594)&amp;" A00056 "&amp;UNICHAR(8594)&amp;" A00087"</x:f>
        <x:v>A00045 → A00074 → A00056 → A00087</x:v>
      </x:c>
      <x:c r="G168" s="31" t="n">
        <x:v>333</x:v>
      </x:c>
      <x:c r="H168" s="35" t="n">
        <x:v>2700400381.26</x:v>
      </x:c>
      <x:c r="I168" s="36" t="str">
        <x:v>2025-12-31T16:12:55.000</x:v>
      </x:c>
      <x:c r="J168" s="31" t="str">
        <x:f>UNICHAR(26159)</x:f>
        <x:v>是</x:v>
      </x:c>
      <x:c r="K168" s="31" t="n">
        <x:v>3</x:v>
      </x:c>
      <x:c r="L168" s="31" t="str">
        <x:f>"3"&amp;UNICHAR(36339)&amp;UNICHAR(20851)&amp;UNICHAR(31995)&amp;UNICHAR(65307)&amp;UNICHAR(36335)&amp;UNICHAR(24452)&amp;UNICHAR(32047)&amp;UNICHAR(35745)&amp;"333"&amp;UNICHAR(31508)&amp;UNICHAR(65307)&amp;UNICHAR(32047)&amp;UNICHAR(35745)&amp;UNICHAR(32477)&amp;UNICHAR(23545)&amp;UNICHAR(37329)&amp;UNICHAR(39069)&amp;"2,700,400,381.26"&amp;UNICHAR(20803)&amp;UNICHAR(65307)&amp;UNICHAR(26368)&amp;UNICHAR(36817)&amp;UNICHAR(20132)&amp;UNICHAR(26131)&amp;"2025-12-31 16:12:55"&amp;UNICHAR(65307)&amp;UNICHAR(21516)&amp;UNICHAR(31038)&amp;UNICHAR(21306)&amp;"="&amp;UNICHAR(26159)&amp;UNICHAR(65307)&amp;UNICHAR(21452)&amp;UNICHAR(21521)&amp;UNICHAR(20851)&amp;UNICHAR(31995)&amp;"3"&amp;UNICHAR(26465)</x:f>
        <x:v>3跳关系；路径累计333笔；累计绝对金额2,700,400,381.26元；最近交易2025-12-31 16:12:55；同社区=是；双向关系3条</x:v>
      </x:c>
      <x:c r="M168" s="34" t="str"/>
      <x:c r="N168" s="34" t="str"/>
      <x:c r="O168" s="34" t="str"/>
      <x:c r="P168" s="34" t="str"/>
      <x:c r="Q168" s="34" t="str"/>
      <x:c r="R168" s="34" t="str"/>
      <x:c r="S168" s="37" t="str"/>
    </x:row>
    <x:row r="169" ht="38" customHeight="1">
      <x:c r="A169" s="31" t="str">
        <x:v>LINK-082</x:v>
      </x:c>
      <x:c r="B169" s="31" t="str">
        <x:v>B</x:v>
      </x:c>
      <x:c r="C169" s="31" t="str">
        <x:v>A00045</x:v>
      </x:c>
      <x:c r="D169" s="31" t="str">
        <x:v>A00087</x:v>
      </x:c>
      <x:c r="E169" s="31" t="n">
        <x:v>3</x:v>
      </x:c>
      <x:c r="F169" s="31" t="str">
        <x:f>"A00045 "&amp;UNICHAR(8594)&amp;" A00074 "&amp;UNICHAR(8594)&amp;" A00056 "&amp;UNICHAR(8594)&amp;" A00087"</x:f>
        <x:v>A00045 → A00074 → A00056 → A00087</x:v>
      </x:c>
      <x:c r="G169" s="31" t="n">
        <x:v>333</x:v>
      </x:c>
      <x:c r="H169" s="35" t="n">
        <x:v>2700400381.26</x:v>
      </x:c>
      <x:c r="I169" s="36" t="str">
        <x:v>2025-12-31T16:12:55.000</x:v>
      </x:c>
      <x:c r="J169" s="31" t="str">
        <x:f>UNICHAR(26159)</x:f>
        <x:v>是</x:v>
      </x:c>
      <x:c r="K169" s="31" t="n">
        <x:v>3</x:v>
      </x:c>
      <x:c r="L169" s="31" t="str">
        <x:f>"3"&amp;UNICHAR(36339)&amp;UNICHAR(20851)&amp;UNICHAR(31995)&amp;UNICHAR(65307)&amp;UNICHAR(36335)&amp;UNICHAR(24452)&amp;UNICHAR(32047)&amp;UNICHAR(35745)&amp;"333"&amp;UNICHAR(31508)&amp;UNICHAR(65307)&amp;UNICHAR(32047)&amp;UNICHAR(35745)&amp;UNICHAR(32477)&amp;UNICHAR(23545)&amp;UNICHAR(37329)&amp;UNICHAR(39069)&amp;"2,700,400,381.26"&amp;UNICHAR(20803)&amp;UNICHAR(65307)&amp;UNICHAR(26368)&amp;UNICHAR(36817)&amp;UNICHAR(20132)&amp;UNICHAR(26131)&amp;"2025-12-31 16:12:55"&amp;UNICHAR(65307)&amp;UNICHAR(21516)&amp;UNICHAR(31038)&amp;UNICHAR(21306)&amp;"="&amp;UNICHAR(26159)&amp;UNICHAR(65307)&amp;UNICHAR(21452)&amp;UNICHAR(21521)&amp;UNICHAR(20851)&amp;UNICHAR(31995)&amp;"3"&amp;UNICHAR(26465)</x:f>
        <x:v>3跳关系；路径累计333笔；累计绝对金额2,700,400,381.26元；最近交易2025-12-31 16:12:55；同社区=是；双向关系3条</x:v>
      </x:c>
      <x:c r="M169" s="34" t="str"/>
      <x:c r="N169" s="34" t="str"/>
      <x:c r="O169" s="34" t="str"/>
      <x:c r="P169" s="34" t="str"/>
      <x:c r="Q169" s="34" t="str"/>
      <x:c r="R169" s="34" t="str"/>
      <x:c r="S169" s="37" t="str"/>
    </x:row>
    <x:row r="170" ht="38" customHeight="1">
      <x:c r="A170" s="31" t="str">
        <x:v>LINK-083</x:v>
      </x:c>
      <x:c r="B170" s="31" t="str">
        <x:v>A</x:v>
      </x:c>
      <x:c r="C170" s="31" t="str">
        <x:v>A00004</x:v>
      </x:c>
      <x:c r="D170" s="31" t="str">
        <x:v>A00059</x:v>
      </x:c>
      <x:c r="E170" s="31" t="n">
        <x:v>1</x:v>
      </x:c>
      <x:c r="F170" s="31" t="str">
        <x:f>"A00004 "&amp;UNICHAR(8594)&amp;" A00059"</x:f>
        <x:v>A00004 → A00059</x:v>
      </x:c>
      <x:c r="G170" s="31" t="n">
        <x:v>3</x:v>
      </x:c>
      <x:c r="H170" s="35" t="n">
        <x:v>9414.44</x:v>
      </x:c>
      <x:c r="I170" s="36" t="str">
        <x:v>2025-12-24T16:35:05.000</x:v>
      </x:c>
      <x:c r="J170" s="31" t="str">
        <x:f>UNICHAR(26159)</x:f>
        <x:v>是</x:v>
      </x:c>
      <x:c r="K170" s="31" t="n">
        <x:v>0</x:v>
      </x:c>
      <x:c r="L170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9,414.44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1跳关系；路径累计3笔；累计绝对金额9,414.44元；最近交易2025-12-24 16:35:05；同社区=是；双向关系0条</x:v>
      </x:c>
      <x:c r="M170" s="34" t="str"/>
      <x:c r="N170" s="34" t="str"/>
      <x:c r="O170" s="34" t="str"/>
      <x:c r="P170" s="34" t="str"/>
      <x:c r="Q170" s="34" t="str"/>
      <x:c r="R170" s="34" t="str"/>
      <x:c r="S170" s="37" t="str"/>
    </x:row>
    <x:row r="171" ht="38" customHeight="1">
      <x:c r="A171" s="31" t="str">
        <x:v>LINK-083</x:v>
      </x:c>
      <x:c r="B171" s="31" t="str">
        <x:v>B</x:v>
      </x:c>
      <x:c r="C171" s="31" t="str">
        <x:v>A00004</x:v>
      </x:c>
      <x:c r="D171" s="31" t="str">
        <x:v>A00059</x:v>
      </x:c>
      <x:c r="E171" s="31" t="n">
        <x:v>1</x:v>
      </x:c>
      <x:c r="F171" s="31" t="str">
        <x:f>"A00004 "&amp;UNICHAR(8594)&amp;" A00059"</x:f>
        <x:v>A00004 → A00059</x:v>
      </x:c>
      <x:c r="G171" s="31" t="n">
        <x:v>3</x:v>
      </x:c>
      <x:c r="H171" s="35" t="n">
        <x:v>9414.44</x:v>
      </x:c>
      <x:c r="I171" s="36" t="str">
        <x:v>2025-12-24T16:35:05.000</x:v>
      </x:c>
      <x:c r="J171" s="31" t="str">
        <x:f>UNICHAR(26159)</x:f>
        <x:v>是</x:v>
      </x:c>
      <x:c r="K171" s="31" t="n">
        <x:v>0</x:v>
      </x:c>
      <x:c r="L171" s="31" t="str">
        <x:f>"1"&amp;UNICHAR(36339)&amp;UNICHAR(20851)&amp;UNICHAR(31995)&amp;UNICHAR(65307)&amp;UNICHAR(36335)&amp;UNICHAR(24452)&amp;UNICHAR(32047)&amp;UNICHAR(35745)&amp;"3"&amp;UNICHAR(31508)&amp;UNICHAR(65307)&amp;UNICHAR(32047)&amp;UNICHAR(35745)&amp;UNICHAR(32477)&amp;UNICHAR(23545)&amp;UNICHAR(37329)&amp;UNICHAR(39069)&amp;"9,414.44"&amp;UNICHAR(20803)&amp;UNICHAR(65307)&amp;UNICHAR(26368)&amp;UNICHAR(36817)&amp;UNICHAR(20132)&amp;UNICHAR(26131)&amp;"2025-12-24 16:35:05"&amp;UNICHAR(65307)&amp;UNICHAR(21516)&amp;UNICHAR(31038)&amp;UNICHAR(21306)&amp;"="&amp;UNICHAR(26159)&amp;UNICHAR(65307)&amp;UNICHAR(21452)&amp;UNICHAR(21521)&amp;UNICHAR(20851)&amp;UNICHAR(31995)&amp;"0"&amp;UNICHAR(26465)</x:f>
        <x:v>1跳关系；路径累计3笔；累计绝对金额9,414.44元；最近交易2025-12-24 16:35:05；同社区=是；双向关系0条</x:v>
      </x:c>
      <x:c r="M171" s="34" t="str"/>
      <x:c r="N171" s="34" t="str"/>
      <x:c r="O171" s="34" t="str"/>
      <x:c r="P171" s="34" t="str"/>
      <x:c r="Q171" s="34" t="str"/>
      <x:c r="R171" s="34" t="str"/>
      <x:c r="S171" s="37" t="str"/>
    </x:row>
    <x:row r="172" ht="38" customHeight="1">
      <x:c r="A172" s="31" t="str">
        <x:v>LINK-084</x:v>
      </x:c>
      <x:c r="B172" s="31" t="str">
        <x:v>A</x:v>
      </x:c>
      <x:c r="C172" s="31" t="str">
        <x:v>A00045</x:v>
      </x:c>
      <x:c r="D172" s="31" t="str">
        <x:v>A00073</x:v>
      </x:c>
      <x:c r="E172" s="31" t="n">
        <x:v>2</x:v>
      </x:c>
      <x:c r="F172" s="31" t="str">
        <x:f>"A00045 "&amp;UNICHAR(8594)&amp;" A00074 "&amp;UNICHAR(8594)&amp;" A00073"</x:f>
        <x:v>A00045 → A00074 → A00073</x:v>
      </x:c>
      <x:c r="G172" s="31" t="n">
        <x:v>53</x:v>
      </x:c>
      <x:c r="H172" s="35" t="n">
        <x:v>54549600</x:v>
      </x:c>
      <x:c r="I172" s="36" t="str">
        <x:v>2025-12-29T15:11:47.000</x:v>
      </x:c>
      <x:c r="J172" s="31" t="str">
        <x:f>UNICHAR(26159)</x:f>
        <x:v>是</x:v>
      </x:c>
      <x:c r="K172" s="31" t="n">
        <x:v>2</x:v>
      </x:c>
      <x:c r="L172" s="31" t="str">
        <x:f>"2"&amp;UNICHAR(36339)&amp;UNICHAR(20851)&amp;UNICHAR(31995)&amp;UNICHAR(65307)&amp;UNICHAR(36335)&amp;UNICHAR(24452)&amp;UNICHAR(32047)&amp;UNICHAR(35745)&amp;"53"&amp;UNICHAR(31508)&amp;UNICHAR(65307)&amp;UNICHAR(32047)&amp;UNICHAR(35745)&amp;UNICHAR(32477)&amp;UNICHAR(23545)&amp;UNICHAR(37329)&amp;UNICHAR(39069)&amp;"54,549,600.00"&amp;UNICHAR(20803)&amp;UNICHAR(65307)&amp;UNICHAR(26368)&amp;UNICHAR(36817)&amp;UNICHAR(20132)&amp;UNICHAR(26131)&amp;"2025-12-29 15:11:47"&amp;UNICHAR(65307)&amp;UNICHAR(21516)&amp;UNICHAR(31038)&amp;UNICHAR(21306)&amp;"="&amp;UNICHAR(26159)&amp;UNICHAR(65307)&amp;UNICHAR(21452)&amp;UNICHAR(21521)&amp;UNICHAR(20851)&amp;UNICHAR(31995)&amp;"2"&amp;UNICHAR(26465)</x:f>
        <x:v>2跳关系；路径累计53笔；累计绝对金额54,549,600.00元；最近交易2025-12-29 15:11:47；同社区=是；双向关系2条</x:v>
      </x:c>
      <x:c r="M172" s="34" t="str"/>
      <x:c r="N172" s="34" t="str"/>
      <x:c r="O172" s="34" t="str"/>
      <x:c r="P172" s="34" t="str"/>
      <x:c r="Q172" s="34" t="str"/>
      <x:c r="R172" s="34" t="str"/>
      <x:c r="S172" s="37" t="str"/>
    </x:row>
    <x:row r="173" ht="38" customHeight="1">
      <x:c r="A173" s="31" t="str">
        <x:v>LINK-084</x:v>
      </x:c>
      <x:c r="B173" s="31" t="str">
        <x:v>B</x:v>
      </x:c>
      <x:c r="C173" s="31" t="str">
        <x:v>A00045</x:v>
      </x:c>
      <x:c r="D173" s="31" t="str">
        <x:v>A00073</x:v>
      </x:c>
      <x:c r="E173" s="31" t="n">
        <x:v>2</x:v>
      </x:c>
      <x:c r="F173" s="31" t="str">
        <x:f>"A00045 "&amp;UNICHAR(8594)&amp;" A00074 "&amp;UNICHAR(8594)&amp;" A00073"</x:f>
        <x:v>A00045 → A00074 → A00073</x:v>
      </x:c>
      <x:c r="G173" s="31" t="n">
        <x:v>53</x:v>
      </x:c>
      <x:c r="H173" s="35" t="n">
        <x:v>54549600</x:v>
      </x:c>
      <x:c r="I173" s="36" t="str">
        <x:v>2025-12-29T15:11:47.000</x:v>
      </x:c>
      <x:c r="J173" s="31" t="str">
        <x:f>UNICHAR(26159)</x:f>
        <x:v>是</x:v>
      </x:c>
      <x:c r="K173" s="31" t="n">
        <x:v>2</x:v>
      </x:c>
      <x:c r="L173" s="31" t="str">
        <x:f>"2"&amp;UNICHAR(36339)&amp;UNICHAR(20851)&amp;UNICHAR(31995)&amp;UNICHAR(65307)&amp;UNICHAR(36335)&amp;UNICHAR(24452)&amp;UNICHAR(32047)&amp;UNICHAR(35745)&amp;"53"&amp;UNICHAR(31508)&amp;UNICHAR(65307)&amp;UNICHAR(32047)&amp;UNICHAR(35745)&amp;UNICHAR(32477)&amp;UNICHAR(23545)&amp;UNICHAR(37329)&amp;UNICHAR(39069)&amp;"54,549,600.00"&amp;UNICHAR(20803)&amp;UNICHAR(65307)&amp;UNICHAR(26368)&amp;UNICHAR(36817)&amp;UNICHAR(20132)&amp;UNICHAR(26131)&amp;"2025-12-29 15:11:47"&amp;UNICHAR(65307)&amp;UNICHAR(21516)&amp;UNICHAR(31038)&amp;UNICHAR(21306)&amp;"="&amp;UNICHAR(26159)&amp;UNICHAR(65307)&amp;UNICHAR(21452)&amp;UNICHAR(21521)&amp;UNICHAR(20851)&amp;UNICHAR(31995)&amp;"2"&amp;UNICHAR(26465)</x:f>
        <x:v>2跳关系；路径累计53笔；累计绝对金额54,549,600.00元；最近交易2025-12-29 15:11:47；同社区=是；双向关系2条</x:v>
      </x:c>
      <x:c r="M173" s="34" t="str"/>
      <x:c r="N173" s="34" t="str"/>
      <x:c r="O173" s="34" t="str"/>
      <x:c r="P173" s="34" t="str"/>
      <x:c r="Q173" s="34" t="str"/>
      <x:c r="R173" s="34" t="str"/>
      <x:c r="S173" s="37" t="str"/>
    </x:row>
  </x:sheetData>
  <x:mergeCells>
    <x:mergeCell ref="A1:S2"/>
    <x:mergeCell ref="A3:S3"/>
  </x:mergeCells>
  <x:conditionalFormatting sqref="A5:S173">
    <x:cfRule type="expression" dxfId="0" priority="1">
      <x:formula>$B6=Lists!$E$2</x:formula>
    </x:cfRule>
  </x:conditionalFormatting>
  <x:dataValidations count="4">
    <x:dataValidation type="list" sqref="M6:M173">
      <x:formula1>Lists!$A$1:$A$4</x:formula1>
    </x:dataValidation>
    <x:dataValidation type="list" sqref="N6:N173">
      <x:formula1>Lists!$B$1:$B$3</x:formula1>
    </x:dataValidation>
    <x:dataValidation type="list" sqref="O6:O173">
      <x:formula1>Lists!$C$1:$C$4</x:formula1>
    </x:dataValidation>
    <x:dataValidation type="list" sqref="P6:P173">
      <x:formula1>Lists!$D$1:$D$7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66" hidden="0" customWidth="1"/>
  </x:cols>
  <x:sheetData>
    <x:row r="1" ht="58" customHeight="1">
      <x:c r="A1" s="5" t="str">
        <x:f>UNICHAR(35780)&amp;UNICHAR(20998)&amp;UNICHAR(23383)&amp;UNICHAR(20856)&amp;UNICHAR(10)&amp;UNICHAR(32479)&amp;UNICHAR(19968)&amp;UNICHAR(20004)&amp;UNICHAR(20301)&amp;UNICHAR(23457)&amp;UNICHAR(26680)&amp;UNICHAR(20154)&amp;UNICHAR(30340)&amp;UNICHAR(21028)&amp;UNICHAR(26029)&amp;UNICHAR(23610)&amp;UNICHAR(24230)</x:f>
        <x:v>评分字典
统一两位审核人的判断尺度</x:v>
      </x:c>
    </x:row>
    <x:row r="2" ht="58" customHeight="1"/>
    <x:row r="4">
      <x:c r="A4" s="10" t="str">
        <x:f>UNICHAR(23383)&amp;UNICHAR(27573)</x:f>
        <x:v>字段</x:v>
      </x:c>
      <x:c r="B4" s="10" t="str">
        <x:f>UNICHAR(36873)&amp;UNICHAR(39033)</x:f>
        <x:v>选项</x:v>
      </x:c>
      <x:c r="C4" s="10" t="str">
        <x:f>UNICHAR(21028)&amp;UNICHAR(23450)&amp;UNICHAR(35828)&amp;UNICHAR(26126)</x:f>
        <x:v>判定说明</x:v>
      </x:c>
    </x:row>
    <x:row r="5" ht="34" customHeight="1">
      <x:c r="A5" s="40" t="str">
        <x:f>UNICHAR(35299)&amp;UNICHAR(37322)&amp;UNICHAR(21512)&amp;UNICHAR(29702)&amp;UNICHAR(24615)</x:f>
        <x:v>解释合理性</x:v>
      </x:c>
      <x:c r="B5" s="40" t="str">
        <x:f>UNICHAR(21512)&amp;UNICHAR(29702)</x:f>
        <x:v>合理</x:v>
      </x:c>
      <x:c r="C5" s="40" t="str">
        <x:f>UNICHAR(35777)&amp;UNICHAR(25454)&amp;UNICHAR(38142)&amp;UNICHAR(19982)&amp;UNICHAR(35299)&amp;UNICHAR(37322)&amp;UNICHAR(19968)&amp;UNICHAR(33268)&amp;UNICHAR(65292)&amp;UNICHAR(20851)&amp;UNICHAR(31995)&amp;UNICHAR(26041)&amp;UNICHAR(21521)&amp;UNICHAR(12289)&amp;UNICHAR(36335)&amp;UNICHAR(24452)&amp;UNICHAR(21644)&amp;UNICHAR(24378)&amp;UNICHAR(24230)&amp;UNICHAR(36275)&amp;UNICHAR(20197)&amp;UNICHAR(25903)&amp;UNICHAR(25745)&amp;UNICHAR(35813)&amp;UNICHAR(35299)&amp;UNICHAR(37322)&amp;UNICHAR(12290)</x:f>
        <x:v>证据链与解释一致，关系方向、路径和强度足以支撑该解释。</x:v>
      </x:c>
    </x:row>
    <x:row r="6" ht="34" customHeight="1">
      <x:c r="A6" s="40" t="str">
        <x:f>UNICHAR(35299)&amp;UNICHAR(37322)&amp;UNICHAR(21512)&amp;UNICHAR(29702)&amp;UNICHAR(24615)</x:f>
        <x:v>解释合理性</x:v>
      </x:c>
      <x:c r="B6" s="40" t="str">
        <x:f>UNICHAR(22522)&amp;UNICHAR(26412)&amp;UNICHAR(21512)&amp;UNICHAR(29702)</x:f>
        <x:v>基本合理</x:v>
      </x:c>
      <x:c r="C6" s="40" t="str">
        <x:f>UNICHAR(24635)&amp;UNICHAR(20307)&amp;UNICHAR(35299)&amp;UNICHAR(37322)&amp;UNICHAR(25104)&amp;UNICHAR(31435)&amp;UNICHAR(65292)&amp;UNICHAR(20294)&amp;UNICHAR(20173)&amp;UNICHAR(23384)&amp;UNICHAR(22312)&amp;UNICHAR(27425)&amp;UNICHAR(35201)&amp;UNICHAR(35777)&amp;UNICHAR(25454)&amp;UNICHAR(32570)&amp;UNICHAR(21475)&amp;UNICHAR(25110)&amp;UNICHAR(34920)&amp;UNICHAR(36848)&amp;UNICHAR(21487)&amp;UNICHAR(25913)&amp;UNICHAR(36827)&amp;UNICHAR(12290)</x:f>
        <x:v>总体解释成立，但仍存在次要证据缺口或表述可改进。</x:v>
      </x:c>
    </x:row>
    <x:row r="7" ht="34" customHeight="1">
      <x:c r="A7" s="40" t="str">
        <x:f>UNICHAR(35299)&amp;UNICHAR(37322)&amp;UNICHAR(21512)&amp;UNICHAR(29702)&amp;UNICHAR(24615)</x:f>
        <x:v>解释合理性</x:v>
      </x:c>
      <x:c r="B7" s="40" t="str">
        <x:f>UNICHAR(19981)&amp;UNICHAR(21512)&amp;UNICHAR(29702)</x:f>
        <x:v>不合理</x:v>
      </x:c>
      <x:c r="C7" s="40" t="str">
        <x:f>UNICHAR(26680)&amp;UNICHAR(24515)&amp;UNICHAR(35777)&amp;UNICHAR(25454)&amp;UNICHAR(19982)&amp;UNICHAR(35299)&amp;UNICHAR(37322)&amp;UNICHAR(20914)&amp;UNICHAR(31361)&amp;UNICHAR(65292)&amp;UNICHAR(25110)&amp;UNICHAR(19981)&amp;UNICHAR(36275)&amp;UNICHAR(20197)&amp;UNICHAR(25903)&amp;UNICHAR(25745)&amp;UNICHAR(24403)&amp;UNICHAR(21069)&amp;UNICHAR(35299)&amp;UNICHAR(37322)&amp;UNICHAR(12290)</x:f>
        <x:v>核心证据与解释冲突，或不足以支撑当前解释。</x:v>
      </x:c>
    </x:row>
    <x:row r="8" ht="34" customHeight="1">
      <x:c r="A8" s="40" t="str">
        <x:f>UNICHAR(35299)&amp;UNICHAR(37322)&amp;UNICHAR(21512)&amp;UNICHAR(29702)&amp;UNICHAR(24615)</x:f>
        <x:v>解释合理性</x:v>
      </x:c>
      <x:c r="B8" s="40" t="str">
        <x:f>UNICHAR(26080)&amp;UNICHAR(27861)&amp;UNICHAR(21028)&amp;UNICHAR(26029)</x:f>
        <x:v>无法判断</x:v>
      </x:c>
      <x:c r="C8" s="40" t="str">
        <x:f>UNICHAR(20165)&amp;UNICHAR(20973)&amp;UNICHAR(29616)&amp;UNICHAR(26377)&amp;UNICHAR(21311)&amp;UNICHAR(21517)&amp;UNICHAR(35777)&amp;UNICHAR(25454)&amp;UNICHAR(26080)&amp;UNICHAR(27861)&amp;UNICHAR(24418)&amp;UNICHAR(25104)&amp;UNICHAR(21028)&amp;UNICHAR(26029)&amp;UNICHAR(12290)</x:f>
        <x:v>仅凭现有匿名证据无法形成判断。</x:v>
      </x:c>
    </x:row>
    <x:row r="9" ht="34" customHeight="1">
      <x:c r="A9" s="40" t="str">
        <x:f>UNICHAR(36827)&amp;UNICHAR(19968)&amp;UNICHAR(27493)&amp;UNICHAR(26680)&amp;UNICHAR(26597)</x:f>
        <x:v>进一步核查</x:v>
      </x:c>
      <x:c r="B9" s="40" t="str">
        <x:f>UNICHAR(26159)</x:f>
        <x:v>是</x:v>
      </x:c>
      <x:c r="C9" s="40" t="str">
        <x:f>UNICHAR(35813)&amp;UNICHAR(20851)&amp;UNICHAR(31995)&amp;UNICHAR(21487)&amp;UNICHAR(33021)&amp;UNICHAR(20135)&amp;UNICHAR(29983)&amp;UNICHAR(26377)&amp;UNICHAR(25928)&amp;UNICHAR(30740)&amp;UNICHAR(21028)&amp;UNICHAR(32447)&amp;UNICHAR(32034)&amp;UNICHAR(65292)&amp;UNICHAR(20540)&amp;UNICHAR(24471)&amp;UNICHAR(34917)&amp;UNICHAR(20805)&amp;UNICHAR(36523)&amp;UNICHAR(20221)&amp;UNICHAR(12289)&amp;UNICHAR(19994)&amp;UNICHAR(21153)&amp;UNICHAR(25110)&amp;UNICHAR(22806)&amp;UNICHAR(37096)&amp;UNICHAR(35777)&amp;UNICHAR(25454)&amp;UNICHAR(12290)</x:f>
        <x:v>该关系可能产生有效研判线索，值得补充身份、业务或外部证据。</x:v>
      </x:c>
    </x:row>
    <x:row r="10" ht="34" customHeight="1">
      <x:c r="A10" s="40" t="str">
        <x:f>UNICHAR(36827)&amp;UNICHAR(19968)&amp;UNICHAR(27493)&amp;UNICHAR(26680)&amp;UNICHAR(26597)</x:f>
        <x:v>进一步核查</x:v>
      </x:c>
      <x:c r="B10" s="40" t="str">
        <x:f>UNICHAR(21542)</x:f>
        <x:v>否</x:v>
      </x:c>
      <x:c r="C10" s="40" t="str">
        <x:f>UNICHAR(24403)&amp;UNICHAR(21069)&amp;UNICHAR(20851)&amp;UNICHAR(31995)&amp;UNICHAR(30340)&amp;UNICHAR(26680)&amp;UNICHAR(26597)&amp;UNICHAR(20215)&amp;UNICHAR(20540)&amp;UNICHAR(36739)&amp;UNICHAR(20302)&amp;UNICHAR(12290)</x:f>
        <x:v>当前关系的核查价值较低。</x:v>
      </x:c>
    </x:row>
    <x:row r="11" ht="34" customHeight="1">
      <x:c r="A11" s="40" t="str">
        <x:f>UNICHAR(36827)&amp;UNICHAR(19968)&amp;UNICHAR(27493)&amp;UNICHAR(26680)&amp;UNICHAR(26597)</x:f>
        <x:v>进一步核查</x:v>
      </x:c>
      <x:c r="B11" s="40" t="str">
        <x:f>UNICHAR(26080)&amp;UNICHAR(27861)&amp;UNICHAR(21028)&amp;UNICHAR(26029)</x:f>
        <x:v>无法判断</x:v>
      </x:c>
      <x:c r="C11" s="40" t="str">
        <x:f>UNICHAR(29616)&amp;UNICHAR(26377)&amp;UNICHAR(35777)&amp;UNICHAR(25454)&amp;UNICHAR(19981)&amp;UNICHAR(36275)&amp;UNICHAR(20197)&amp;UNICHAR(35780)&amp;UNICHAR(20215)&amp;UNICHAR(26680)&amp;UNICHAR(26597)&amp;UNICHAR(20215)&amp;UNICHAR(20540)&amp;UNICHAR(12290)</x:f>
        <x:v>现有证据不足以评价核查价值。</x:v>
      </x:c>
    </x:row>
    <x:row r="12" ht="34" customHeight="1">
      <x:c r="A12" s="40" t="str">
        <x:f>UNICHAR(35777)&amp;UNICHAR(25454)&amp;UNICHAR(20805)&amp;UNICHAR(20998)&amp;UNICHAR(24615)</x:f>
        <x:v>证据充分性</x:v>
      </x:c>
      <x:c r="B12" s="40" t="str">
        <x:f>UNICHAR(20805)&amp;UNICHAR(20998)</x:f>
        <x:v>充分</x:v>
      </x:c>
      <x:c r="C12" s="40" t="str">
        <x:f>UNICHAR(29616)&amp;UNICHAR(26377)&amp;UNICHAR(36335)&amp;UNICHAR(24452)&amp;UNICHAR(12289)&amp;UNICHAR(37329)&amp;UNICHAR(39069)&amp;UNICHAR(12289)&amp;UNICHAR(31508)&amp;UNICHAR(25968)&amp;UNICHAR(12289)&amp;UNICHAR(26102)&amp;UNICHAR(38388)&amp;UNICHAR(21450)&amp;UNICHAR(32467)&amp;UNICHAR(26500)&amp;UNICHAR(35777)&amp;UNICHAR(25454)&amp;UNICHAR(21487)&amp;UNICHAR(30452)&amp;UNICHAR(25509)&amp;UNICHAR(25903)&amp;UNICHAR(25745)&amp;UNICHAR(30740)&amp;UNICHAR(21028)&amp;UNICHAR(12290)</x:f>
        <x:v>现有路径、金额、笔数、时间及结构证据可直接支撑研判。</x:v>
      </x:c>
    </x:row>
    <x:row r="13" ht="34" customHeight="1">
      <x:c r="A13" s="40" t="str">
        <x:f>UNICHAR(35777)&amp;UNICHAR(25454)&amp;UNICHAR(20805)&amp;UNICHAR(20998)&amp;UNICHAR(24615)</x:f>
        <x:v>证据充分性</x:v>
      </x:c>
      <x:c r="B13" s="40" t="str">
        <x:f>UNICHAR(22522)&amp;UNICHAR(26412)&amp;UNICHAR(20805)&amp;UNICHAR(20998)</x:f>
        <x:v>基本充分</x:v>
      </x:c>
      <x:c r="C13" s="40" t="str">
        <x:f>UNICHAR(20027)&amp;UNICHAR(35201)&amp;UNICHAR(35777)&amp;UNICHAR(25454)&amp;UNICHAR(20855)&amp;UNICHAR(22791)&amp;UNICHAR(65292)&amp;UNICHAR(20294)&amp;UNICHAR(20173)&amp;UNICHAR(38656)&amp;UNICHAR(23569)&amp;UNICHAR(37327)&amp;UNICHAR(32972)&amp;UNICHAR(26223)&amp;UNICHAR(26448)&amp;UNICHAR(26009)&amp;UNICHAR(34917)&amp;UNICHAR(24378)&amp;UNICHAR(12290)</x:f>
        <x:v>主要证据具备，但仍需少量背景材料补强。</x:v>
      </x:c>
    </x:row>
    <x:row r="14" ht="34" customHeight="1">
      <x:c r="A14" s="40" t="str">
        <x:f>UNICHAR(35777)&amp;UNICHAR(25454)&amp;UNICHAR(20805)&amp;UNICHAR(20998)&amp;UNICHAR(24615)</x:f>
        <x:v>证据充分性</x:v>
      </x:c>
      <x:c r="B14" s="40" t="str">
        <x:f>UNICHAR(19981)&amp;UNICHAR(36275)</x:f>
        <x:v>不足</x:v>
      </x:c>
      <x:c r="C14" s="40" t="str">
        <x:f>UNICHAR(20851)&amp;UNICHAR(38190)&amp;UNICHAR(35777)&amp;UNICHAR(25454)&amp;UNICHAR(32570)&amp;UNICHAR(22833)&amp;UNICHAR(25110)&amp;UNICHAR(24378)&amp;UNICHAR(24230)&amp;UNICHAR(26126)&amp;UNICHAR(26174)&amp;UNICHAR(19981)&amp;UNICHAR(36275)&amp;UNICHAR(12290)</x:f>
        <x:v>关键证据缺失或强度明显不足。</x:v>
      </x:c>
    </x:row>
    <x:row r="15" ht="34" customHeight="1">
      <x:c r="A15" s="40" t="str">
        <x:f>UNICHAR(35777)&amp;UNICHAR(25454)&amp;UNICHAR(20805)&amp;UNICHAR(20998)&amp;UNICHAR(24615)</x:f>
        <x:v>证据充分性</x:v>
      </x:c>
      <x:c r="B15" s="40" t="str">
        <x:f>UNICHAR(26080)&amp;UNICHAR(27861)&amp;UNICHAR(21028)&amp;UNICHAR(26029)</x:f>
        <x:v>无法判断</x:v>
      </x:c>
      <x:c r="C15" s="40" t="str">
        <x:f>UNICHAR(35777)&amp;UNICHAR(25454)&amp;UNICHAR(21475)&amp;UNICHAR(24452)&amp;UNICHAR(26080)&amp;UNICHAR(27861)&amp;UNICHAR(29702)&amp;UNICHAR(35299)&amp;UNICHAR(25110)&amp;UNICHAR(26080)&amp;UNICHAR(27861)&amp;UNICHAR(25454)&amp;UNICHAR(27492)&amp;UNICHAR(21028)&amp;UNICHAR(26029)&amp;UNICHAR(12290)</x:f>
        <x:v>证据口径无法理解或无法据此判断。</x:v>
      </x:c>
    </x:row>
  </x:sheetData>
  <x:mergeCells>
    <x:mergeCell ref="A1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</x:cols>
  <x:sheetData>
    <x:row r="1" ht="58" customHeight="1">
      <x:c r="A1" s="5" t="str">
        <x:f>UNICHAR(30450)&amp;UNICHAR(23457)&amp;UNICHAR(32467)&amp;UNICHAR(26524)&amp;UNICHAR(33258)&amp;UNICHAR(21160)&amp;UNICHAR(27719)&amp;UNICHAR(24635)&amp;UNICHAR(10)&amp;UNICHAR(20165)&amp;UNICHAR(32479)&amp;UNICHAR(35745)&amp;UNICHAR(24050)&amp;UNICHAR(22635)&amp;UNICHAR(20889)&amp;UNICHAR(19988)&amp;UNICHAR(21487)&amp;UNICHAR(21028)&amp;UNICHAR(26029)&amp;UNICHAR(30340)&amp;UNICHAR(35780)&amp;UNICHAR(20215)&amp;UNICHAR(65307)&amp;UNICHAR(26080)&amp;UNICHAR(38656)&amp;UNICHAR(25163)&amp;UNICHAR(24037)&amp;UNICHAR(20462)&amp;UNICHAR(25913)&amp;UNICHAR(20844)&amp;UNICHAR(24335)</x:f>
        <x:v>盲审结果自动汇总
仅统计已填写且可判断的评价；无需手工修改公式</x:v>
      </x:c>
    </x:row>
    <x:row r="2" ht="58" customHeight="1"/>
    <x:row r="4" ht="28" customHeight="1">
      <x:c r="A4" s="10" t="str">
        <x:f>UNICHAR(21475)&amp;UNICHAR(24452)</x:f>
        <x:v>口径</x:v>
      </x:c>
      <x:c r="B4" s="10" t="str">
        <x:f>UNICHAR(21512)&amp;UNICHAR(35745)</x:f>
        <x:v>合计</x:v>
      </x:c>
      <x:c r="C4" s="10" t="str">
        <x:f>UNICHAR(23457)&amp;UNICHAR(26680)&amp;UNICHAR(20154)&amp;"A"</x:f>
        <x:v>审核人A</x:v>
      </x:c>
      <x:c r="D4" s="10" t="str">
        <x:f>UNICHAR(23457)&amp;UNICHAR(26680)&amp;UNICHAR(20154)&amp;"B"</x:f>
        <x:v>审核人B</x:v>
      </x:c>
    </x:row>
    <x:row r="5" ht="28" customHeight="1">
      <x:c r="A5" s="42" t="str">
        <x:f>UNICHAR(24050)&amp;UNICHAR(25552)&amp;UNICHAR(20132)&amp;UNICHAR(21512)&amp;UNICHAR(29702)&amp;UNICHAR(24615)&amp;UNICHAR(35780)&amp;UNICHAR(20215)</x:f>
        <x:v>已提交合理性评价</x:v>
      </x:c>
      <x:c r="B5" s="39" t="n">
        <x:f>COUNTIF('Blind_Review'!$M$6:$M$173,"&lt;&gt;")</x:f>
        <x:v>168</x:v>
      </x:c>
      <x:c r="C5" s="39" t="n">
        <x:f>COUNTIFS('Blind_Review'!$B$6:$B$173,Lists!$E$1,'Blind_Review'!$M$6:$M$173,"&lt;&gt;")</x:f>
        <x:v>84</x:v>
      </x:c>
      <x:c r="D5" s="39" t="n">
        <x:f>COUNTIFS('Blind_Review'!$B$6:$B$173,Lists!$E$2,'Blind_Review'!$M$6:$M$173,"&lt;&gt;")</x:f>
        <x:v>84</x:v>
      </x:c>
    </x:row>
    <x:row r="6" ht="28" customHeight="1">
      <x:c r="A6" s="42" t="str">
        <x:f>UNICHAR(26377)&amp;UNICHAR(25928)&amp;UNICHAR(21512)&amp;UNICHAR(29702)&amp;UNICHAR(24615)&amp;UNICHAR(35780)&amp;UNICHAR(20215)</x:f>
        <x:v>有效合理性评价</x:v>
      </x:c>
      <x:c r="B6" s="39" t="n">
        <x:f>COUNTIF('Blind_Review'!$M$6:$M$173,Lists!$A$1)+COUNTIF('Blind_Review'!$M$6:$M$173,Lists!$A$2)+COUNTIF('Blind_Review'!$M$6:$M$173,Lists!$A$3)</x:f>
        <x:v>0</x:v>
      </x:c>
      <x:c r="C6" s="39" t="n">
        <x:f>COUNTIFS('Blind_Review'!$B$6:$B$173,Lists!$E$1,'Blind_Review'!$M$6:$M$173,Lists!$A$1)+COUNTIFS('Blind_Review'!$B$6:$B$173,Lists!$E$1,'Blind_Review'!$M$6:$M$173,Lists!$A$2)+COUNTIFS('Blind_Review'!$B$6:$B$173,Lists!$E$1,'Blind_Review'!$M$6:$M$173,Lists!$A$3)</x:f>
        <x:v>0</x:v>
      </x:c>
      <x:c r="D6" s="39" t="n">
        <x:f>COUNTIFS('Blind_Review'!$B$6:$B$173,Lists!$E$2,'Blind_Review'!$M$6:$M$173,Lists!$A$1)+COUNTIFS('Blind_Review'!$B$6:$B$173,Lists!$E$2,'Blind_Review'!$M$6:$M$173,Lists!$A$2)+COUNTIFS('Blind_Review'!$B$6:$B$173,Lists!$E$2,'Blind_Review'!$M$6:$M$173,Lists!$A$3)</x:f>
        <x:v>0</x:v>
      </x:c>
    </x:row>
    <x:row r="7" ht="28" customHeight="1">
      <x:c r="A7" s="42" t="str">
        <x:f>UNICHAR(21512)&amp;UNICHAR(29702)&amp;"/"&amp;UNICHAR(22522)&amp;UNICHAR(26412)&amp;UNICHAR(21512)&amp;UNICHAR(29702)&amp;UNICHAR(25968)&amp;UNICHAR(37327)</x:f>
        <x:v>合理/基本合理数量</x:v>
      </x:c>
      <x:c r="B7" s="39" t="n">
        <x:f>COUNTIF('Blind_Review'!$M$6:$M$173,Lists!$A$1)+COUNTIF('Blind_Review'!$M$6:$M$173,Lists!$A$2)</x:f>
        <x:v>0</x:v>
      </x:c>
      <x:c r="C7" s="39" t="n">
        <x:f>COUNTIFS('Blind_Review'!$B$6:$B$173,Lists!$E$1,'Blind_Review'!$M$6:$M$173,Lists!$A$1)+COUNTIFS('Blind_Review'!$B$6:$B$173,Lists!$E$1,'Blind_Review'!$M$6:$M$173,Lists!$A$2)</x:f>
        <x:v>0</x:v>
      </x:c>
      <x:c r="D7" s="39" t="n">
        <x:f>COUNTIFS('Blind_Review'!$B$6:$B$173,Lists!$E$2,'Blind_Review'!$M$6:$M$173,Lists!$A$1)+COUNTIFS('Blind_Review'!$B$6:$B$173,Lists!$E$2,'Blind_Review'!$M$6:$M$173,Lists!$A$2)</x:f>
        <x:v>0</x:v>
      </x:c>
    </x:row>
    <x:row r="8" ht="28" customHeight="1">
      <x:c r="A8" s="42" t="str">
        <x:f>UNICHAR(35299)&amp;UNICHAR(37322)&amp;UNICHAR(21512)&amp;UNICHAR(29702)&amp;UNICHAR(29575)</x:f>
        <x:v>解释合理率</x:v>
      </x:c>
      <x:c r="B8" s="43" t="str">
        <x:f>IF(B6=0,"",B7/B6)</x:f>
      </x:c>
      <x:c r="C8" s="43" t="str">
        <x:f>IF(C6=0,"",C7/C6)</x:f>
      </x:c>
      <x:c r="D8" s="43" t="str">
        <x:f>IF(D6=0,"",D7/D6)</x:f>
      </x:c>
    </x:row>
    <x:row r="9" ht="28" customHeight="1">
      <x:c r="A9" s="42" t="str">
        <x:f>UNICHAR(26377)&amp;UNICHAR(25928)&amp;UNICHAR(26680)&amp;UNICHAR(26597)&amp;UNICHAR(20215)&amp;UNICHAR(20540)&amp;UNICHAR(35780)&amp;UNICHAR(20215)</x:f>
        <x:v>有效核查价值评价</x:v>
      </x:c>
      <x:c r="B9" s="39" t="n">
        <x:f>COUNTIF('Blind_Review'!$N$6:$N$173,Lists!$B$1)+COUNTIF('Blind_Review'!$N$6:$N$173,Lists!$B$2)</x:f>
        <x:v>0</x:v>
      </x:c>
      <x:c r="C9" s="39" t="n">
        <x:f>COUNTIFS('Blind_Review'!$B$6:$B$173,Lists!$E$1,'Blind_Review'!$N$6:$N$173,Lists!$B$1)+COUNTIFS('Blind_Review'!$B$6:$B$173,Lists!$E$1,'Blind_Review'!$N$6:$N$173,Lists!$B$2)</x:f>
        <x:v>0</x:v>
      </x:c>
      <x:c r="D9" s="39" t="n">
        <x:f>COUNTIFS('Blind_Review'!$B$6:$B$173,Lists!$E$2,'Blind_Review'!$N$6:$N$173,Lists!$B$1)+COUNTIFS('Blind_Review'!$B$6:$B$173,Lists!$E$2,'Blind_Review'!$N$6:$N$173,Lists!$B$2)</x:f>
        <x:v>0</x:v>
      </x:c>
    </x:row>
    <x:row r="10" ht="28" customHeight="1">
      <x:c r="A10" s="42" t="str">
        <x:f>UNICHAR(20540)&amp;UNICHAR(24471)&amp;UNICHAR(36827)&amp;UNICHAR(19968)&amp;UNICHAR(27493)&amp;UNICHAR(26680)&amp;UNICHAR(26597)&amp;UNICHAR(27604)&amp;UNICHAR(20363)</x:f>
        <x:v>值得进一步核查比例</x:v>
      </x:c>
      <x:c r="B10" s="43" t="str">
        <x:f>IF(B9=0,"",COUNTIF('Blind_Review'!$N$6:$N$173,Lists!$B$1)/B9)</x:f>
      </x:c>
      <x:c r="C10" s="43" t="str">
        <x:f>IF(C9=0,"",COUNTIFS('Blind_Review'!$B$6:$B$173,Lists!$E$1,'Blind_Review'!$N$6:$N$173,Lists!$B$1)/C9)</x:f>
      </x:c>
      <x:c r="D10" s="43" t="str">
        <x:f>IF(D9=0,"",COUNTIFS('Blind_Review'!$B$6:$B$173,Lists!$E$2,'Blind_Review'!$N$6:$N$173,Lists!$B$1)/D9)</x:f>
      </x:c>
    </x:row>
    <x:row r="11" ht="28" customHeight="1">
      <x:c r="A11" s="42" t="str">
        <x:f>UNICHAR(26377)&amp;UNICHAR(25928)&amp;UNICHAR(35777)&amp;UNICHAR(25454)&amp;UNICHAR(35780)&amp;UNICHAR(20215)</x:f>
        <x:v>有效证据评价</x:v>
      </x:c>
      <x:c r="B11" s="39" t="n">
        <x:f>COUNTIF('Blind_Review'!$O$6:$O$173,Lists!$C$1)+COUNTIF('Blind_Review'!$O$6:$O$173,Lists!$C$2)+COUNTIF('Blind_Review'!$O$6:$O$173,Lists!$C$3)</x:f>
        <x:v>0</x:v>
      </x:c>
      <x:c r="C11" s="39" t="n">
        <x:f>COUNTIFS('Blind_Review'!$B$6:$B$173,Lists!$E$1,'Blind_Review'!$O$6:$O$173,Lists!$C$1)+COUNTIFS('Blind_Review'!$B$6:$B$173,Lists!$E$1,'Blind_Review'!$O$6:$O$173,Lists!$C$2)+COUNTIFS('Blind_Review'!$B$6:$B$173,Lists!$E$1,'Blind_Review'!$O$6:$O$173,Lists!$C$3)</x:f>
        <x:v>0</x:v>
      </x:c>
      <x:c r="D11" s="39" t="n">
        <x:f>COUNTIFS('Blind_Review'!$B$6:$B$173,Lists!$E$2,'Blind_Review'!$O$6:$O$173,Lists!$C$1)+COUNTIFS('Blind_Review'!$B$6:$B$173,Lists!$E$2,'Blind_Review'!$O$6:$O$173,Lists!$C$2)+COUNTIFS('Blind_Review'!$B$6:$B$173,Lists!$E$2,'Blind_Review'!$O$6:$O$173,Lists!$C$3)</x:f>
        <x:v>0</x:v>
      </x:c>
    </x:row>
    <x:row r="12" ht="28" customHeight="1">
      <x:c r="A12" s="42" t="str">
        <x:f>UNICHAR(35777)&amp;UNICHAR(25454)&amp;UNICHAR(20805)&amp;UNICHAR(20998)&amp;UNICHAR(29575)</x:f>
        <x:v>证据充分率</x:v>
      </x:c>
      <x:c r="B12" s="43" t="str">
        <x:f>IF(B11=0,"",(COUNTIF('Blind_Review'!$O$6:$O$173,Lists!$C$1)+COUNTIF('Blind_Review'!$O$6:$O$173,Lists!$C$2))/B11)</x:f>
      </x:c>
      <x:c r="C12" s="43" t="str">
        <x:f>IF(C11=0,"",(COUNTIFS('Blind_Review'!$B$6:$B$173,Lists!$E$1,'Blind_Review'!$O$6:$O$173,Lists!$C$1)+COUNTIFS('Blind_Review'!$B$6:$B$173,Lists!$E$1,'Blind_Review'!$O$6:$O$173,Lists!$C$2))/C11)</x:f>
      </x:c>
      <x:c r="D12" s="43" t="str">
        <x:f>IF(D11=0,"",(COUNTIFS('Blind_Review'!$B$6:$B$173,Lists!$E$2,'Blind_Review'!$O$6:$O$173,Lists!$C$1)+COUNTIFS('Blind_Review'!$B$6:$B$173,Lists!$E$2,'Blind_Review'!$O$6:$O$173,Lists!$C$2))/D11)</x:f>
      </x:c>
    </x:row>
    <x:row r="13" ht="28" customHeight="1"/>
    <x:row r="14" ht="28" customHeight="1">
      <x:c r="A14" s="27" t="str">
        <x:f>UNICHAR(21442)&amp;UNICHAR(32771)&amp;UNICHAR(30446)&amp;UNICHAR(26631)&amp;UNICHAR(65306)&amp;UNICHAR(35299)&amp;UNICHAR(37322)&amp;UNICHAR(21512)&amp;UNICHAR(29702)&amp;UNICHAR(29575)&amp;" "&amp;UNICHAR(8805)&amp;" 70%"&amp;UNICHAR(12290)&amp;UNICHAR(26410)&amp;UNICHAR(23436)&amp;UNICHAR(25104)&amp;UNICHAR(23457)&amp;UNICHAR(26680)&amp;UNICHAR(21069)&amp;UNICHAR(65292)&amp;UNICHAR(31354)&amp;UNICHAR(30333)&amp;UNICHAR(27604)&amp;UNICHAR(20363)&amp;UNICHAR(19981)&amp;UNICHAR(20195)&amp;UNICHAR(34920)&amp;UNICHAR(26410)&amp;UNICHAR(36798)&amp;UNICHAR(26631)&amp;UNICHAR(12290)</x:f>
        <x:v>参考目标：解释合理率 ≥ 70%。未完成审核前，空白比例不代表未达标。</x:v>
      </x:c>
    </x:row>
  </x:sheetData>
  <x:mergeCells>
    <x:mergeCell ref="A1:H2"/>
    <x:mergeCell ref="A14:D14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>
      <x:c r="A1" s="39" t="str">
        <x:f>UNICHAR(21512)&amp;UNICHAR(29702)</x:f>
        <x:v>合理</x:v>
      </x:c>
      <x:c r="B1" s="39" t="str">
        <x:f>UNICHAR(26159)</x:f>
        <x:v>是</x:v>
      </x:c>
      <x:c r="C1" s="39" t="str">
        <x:f>UNICHAR(20805)&amp;UNICHAR(20998)</x:f>
        <x:v>充分</x:v>
      </x:c>
      <x:c r="D1" s="39" t="str">
        <x:f>UNICHAR(35777)&amp;UNICHAR(25454)&amp;UNICHAR(19982)&amp;UNICHAR(32467)&amp;UNICHAR(35770)&amp;UNICHAR(19981)&amp;UNICHAR(21305)&amp;UNICHAR(37197)</x:f>
        <x:v>证据与结论不匹配</x:v>
      </x:c>
      <x:c r="E1" s="39" t="str">
        <x:v>A</x:v>
      </x:c>
    </x:row>
    <x:row r="2">
      <x:c r="A2" s="39" t="str">
        <x:f>UNICHAR(22522)&amp;UNICHAR(26412)&amp;UNICHAR(21512)&amp;UNICHAR(29702)</x:f>
        <x:v>基本合理</x:v>
      </x:c>
      <x:c r="B2" s="39" t="str">
        <x:f>UNICHAR(21542)</x:f>
        <x:v>否</x:v>
      </x:c>
      <x:c r="C2" s="39" t="str">
        <x:f>UNICHAR(22522)&amp;UNICHAR(26412)&amp;UNICHAR(20805)&amp;UNICHAR(20998)</x:f>
        <x:v>基本充分</x:v>
      </x:c>
      <x:c r="D2" s="39" t="str">
        <x:f>UNICHAR(36335)&amp;UNICHAR(24452)&amp;UNICHAR(36807)&amp;UNICHAR(38271)&amp;UNICHAR(25110)&amp;UNICHAR(20851)&amp;UNICHAR(31995)&amp;UNICHAR(36807)&amp;UNICHAR(24369)</x:f>
        <x:v>路径过长或关系过弱</x:v>
      </x:c>
      <x:c r="E2" s="39" t="str">
        <x:v>B</x:v>
      </x:c>
    </x:row>
    <x:row r="3">
      <x:c r="A3" s="39" t="str">
        <x:f>UNICHAR(19981)&amp;UNICHAR(21512)&amp;UNICHAR(29702)</x:f>
        <x:v>不合理</x:v>
      </x:c>
      <x:c r="B3" s="39" t="str">
        <x:f>UNICHAR(26080)&amp;UNICHAR(27861)&amp;UNICHAR(21028)&amp;UNICHAR(26029)</x:f>
        <x:v>无法判断</x:v>
      </x:c>
      <x:c r="C3" s="39" t="str">
        <x:f>UNICHAR(19981)&amp;UNICHAR(36275)</x:f>
        <x:v>不足</x:v>
      </x:c>
      <x:c r="D3" s="39" t="str">
        <x:f>UNICHAR(37329)&amp;UNICHAR(39069)&amp;"/"&amp;UNICHAR(31508)&amp;UNICHAR(25968)&amp;UNICHAR(19981)&amp;UNICHAR(36275)</x:f>
        <x:v>金额/笔数不足</x:v>
      </x:c>
      <x:c r="E3" s="39"/>
    </x:row>
    <x:row r="4">
      <x:c r="A4" s="39" t="str">
        <x:f>UNICHAR(26080)&amp;UNICHAR(27861)&amp;UNICHAR(21028)&amp;UNICHAR(26029)</x:f>
        <x:v>无法判断</x:v>
      </x:c>
      <x:c r="B4" s="39"/>
      <x:c r="C4" s="39" t="str">
        <x:f>UNICHAR(26080)&amp;UNICHAR(27861)&amp;UNICHAR(21028)&amp;UNICHAR(26029)</x:f>
        <x:v>无法判断</x:v>
      </x:c>
      <x:c r="D4" s="39" t="str">
        <x:f>UNICHAR(32570)&amp;UNICHAR(23569)&amp;UNICHAR(19994)&amp;UNICHAR(21153)&amp;UNICHAR(32972)&amp;UNICHAR(26223)</x:f>
        <x:v>缺少业务背景</x:v>
      </x:c>
      <x:c r="E4" s="39"/>
    </x:row>
    <x:row r="5">
      <x:c r="A5" s="39"/>
      <x:c r="B5" s="39"/>
      <x:c r="C5" s="39"/>
      <x:c r="D5" s="39" t="str">
        <x:f>UNICHAR(26102)&amp;UNICHAR(38388)&amp;UNICHAR(35777)&amp;UNICHAR(25454)&amp;UNICHAR(19981)&amp;UNICHAR(36275)</x:f>
        <x:v>时间证据不足</x:v>
      </x:c>
      <x:c r="E5" s="39"/>
    </x:row>
    <x:row r="6">
      <x:c r="A6" s="39"/>
      <x:c r="B6" s="39"/>
      <x:c r="C6" s="39"/>
      <x:c r="D6" s="39" t="str">
        <x:f>UNICHAR(20854)&amp;UNICHAR(20182)</x:f>
        <x:v>其他</x:v>
      </x:c>
      <x:c r="E6" s="39"/>
    </x:row>
    <x:row r="7">
      <x:c r="A7" s="39"/>
      <x:c r="B7" s="39"/>
      <x:c r="C7" s="39"/>
      <x:c r="D7" s="39" t="str">
        <x:f>UNICHAR(19981)&amp;UNICHAR(36866)&amp;UNICHAR(29992)</x:f>
        <x:v>不适用</x:v>
      </x:c>
      <x:c r="E7" s="39"/>
    </x:row>
  </x:sheetData>
  <x:pageMargins left="0.7" right="0.7" top="0.75" bottom="0.75" header="0.3" footer="0.3"/>
</x:worksheet>
</file>